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Leeme" sheetId="1" state="visible" r:id="rId3"/>
    <sheet name="Resumen" sheetId="2" state="visible" r:id="rId4"/>
    <sheet name="Actores" sheetId="3" state="visible" r:id="rId5"/>
    <sheet name="Requisitos Funcionales" sheetId="4" state="visible" r:id="rId6"/>
    <sheet name="Epicas" sheetId="5" state="visible" r:id="rId7"/>
    <sheet name="Historias de Usuario" sheetId="6" state="visible" r:id="rId8"/>
    <sheet name="Reglas de Negocio" sheetId="7" state="visible" r:id="rId9"/>
    <sheet name="Requisitos No Funcionales" sheetId="8" state="visible" r:id="rId10"/>
    <sheet name="INVEST" sheetId="9" state="visible" r:id="rId11"/>
    <sheet name="Trazabilidad" sheetId="10" state="visible" r:id="rId12"/>
    <sheet name="Decisiones (ADR)" sheetId="11" state="visible" r:id="rId13"/>
    <sheet name="Fuera de alcance" sheetId="12" state="visible" r:id="rId14"/>
    <sheet name="Control de cambios" sheetId="13" state="visible" r:id="rId15"/>
    <sheet name="Historias Tecnicas" sheetId="14" state="visible" r:id="rId16"/>
    <sheet name="Casos de Uso" sheetId="15" state="visible" r:id="rId17"/>
    <sheet name="Supuestos" sheetId="16" state="visible" r:id="rId18"/>
  </sheets>
  <definedNames>
    <definedName function="false" hidden="true" localSheetId="5" name="_xlnm._FilterDatabase" vbProcedure="false">'Historias de Usuario'!$A$4:$N$41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<sst xmlns="http://schemas.openxmlformats.org/spreadsheetml/2006/main" count="2478" uniqueCount="1505">
  <si>
    <t xml:space="preserve">APAR-CAR - Backlog del producto v3.5</t>
  </si>
  <si>
    <t xml:space="preserve">Proyecto de grado - Tecnólogo en Análisis y Desarrollo de Software - Ficha 3229209 - SENA  |  Instructor: Deimer Miranda Montoya  |  Equipo: Ismael Mira Correa (frontend) | Valeria Usuga Penagos (backend) | Mariana Uribe Muñoz (analista y líder)</t>
  </si>
  <si>
    <t xml:space="preserve">Actualizado el 11 de septiembre de 2026. Entregable 3 del proyecto: documento de Backlog, Historias de Usuario y Casos de Uso. La v3.5 incorpora a HU-43 el criterio de aceptación sobre el acuse al dispositivo lector, detectado durante el modelado de la plantilla P04.</t>
  </si>
  <si>
    <t xml:space="preserve">QUE HAY EN ESTE LIBRO</t>
  </si>
  <si>
    <t xml:space="preserve">Resumen</t>
  </si>
  <si>
    <t xml:space="preserve">Métricas del backlog calculadas con fórmulas: total de puntos, reparto MoSCoW y porcentaje de esfuerzo en Must. Es lo que se mira primero para saber si el alcance de la primera versión es realista.</t>
  </si>
  <si>
    <t xml:space="preserve">Actores</t>
  </si>
  <si>
    <t xml:space="preserve">Quién usa el sistema, que necesita lograr y por qué le importa. Cada actor esta cruzado con su stakeholder (STK) del documento de Stakeholders.</t>
  </si>
  <si>
    <t xml:space="preserve">Épicas</t>
  </si>
  <si>
    <t xml:space="preserve">8 épicas agrupadas por CAPACIDAD del sistema, no por pantalla. Los conteos y los puntos se calculan solos desde la hoja Historias de Usuario.</t>
  </si>
  <si>
    <t xml:space="preserve">Requisitos Funcionales</t>
  </si>
  <si>
    <t xml:space="preserve">22 requisitos (RF-xx) con su origen y las historias que los implementan. Hoja nueva en la v3.2: el catálogo vivía únicamente en el Anexo A de la plantilla P01.</t>
  </si>
  <si>
    <t xml:space="preserve">Historias de Usuario</t>
  </si>
  <si>
    <t xml:space="preserve">47 historias con criterios de aceptación en Dado/Cuando/Entonces y un escenario de error propio por historia. Es la hoja principal del libro.</t>
  </si>
  <si>
    <t xml:space="preserve">Reglas de Negocio</t>
  </si>
  <si>
    <t xml:space="preserve">17 reglas (RN-xx) que aplican siempre, independientes de la pantalla. Se separan de las historias para no repetirlas en cada criterio de aceptación.</t>
  </si>
  <si>
    <t xml:space="preserve">Requisitos No Funcionales</t>
  </si>
  <si>
    <t xml:space="preserve">11 requisitos (RNF-xx) con criterio de verificación y su riesgo asociado del documento Análisis de Seguridad. Un RNF que no se puede verificar no es un requisito.</t>
  </si>
  <si>
    <t xml:space="preserve">INVEST</t>
  </si>
  <si>
    <t xml:space="preserve">Checklist INVEST por historia, con observación donde hay algo que revisar.</t>
  </si>
  <si>
    <t xml:space="preserve">Trazabilidad</t>
  </si>
  <si>
    <t xml:space="preserve">Cadena Necesidad -&gt; Stakeholder -&gt; Épica -&gt; Historia -&gt; Regla/RNF -&gt; Caso de prueba. Es el esqueleto de la matriz de trazabilidad de la fase de pruebas.</t>
  </si>
  <si>
    <t xml:space="preserve">Decisiones (ADR)</t>
  </si>
  <si>
    <t xml:space="preserve">10 decisiones de arquitectura registradas, con alternativas evaluadas y consecuencias. Todas aceptadas: ADR-008 (stack tecnologico) se cerro el 11/09/2026 y ADR-010 (estilo arquitectonico) se creo en la v3.4.</t>
  </si>
  <si>
    <t xml:space="preserve">Fuera de alcance</t>
  </si>
  <si>
    <t xml:space="preserve">Lo que se decidió NO hacer y por qué. Documentar esto vale tanto como documentar lo que si se hace.</t>
  </si>
  <si>
    <t xml:space="preserve">Control de cambios</t>
  </si>
  <si>
    <t xml:space="preserve">Que cambio de la v2 a la v3, con su justificación. Incluye las correcciones pendientes en los demás entregables del proyecto.</t>
  </si>
  <si>
    <t xml:space="preserve">Historias Tecnicas</t>
  </si>
  <si>
    <t xml:space="preserve">HT-01 a HT-08: el trabajo que no produce funcionalidad visible pero sin el cual las historias no se pueden construir. Cada una amarrada al ADR que la justifica. HT-05 a HT-08 se agregan en la v3.4 al cerrar ADR-008.</t>
  </si>
  <si>
    <t xml:space="preserve">Casos de Uso</t>
  </si>
  <si>
    <t xml:space="preserve">CU-01 a CU-06: los seis flujos que se especificaron en detalle, con su actor, su justificación de selección y sus escenarios. La especificación completa vive en el documento de Casos de Uso y Escenarios.</t>
  </si>
  <si>
    <t xml:space="preserve">Supuestos</t>
  </si>
  <si>
    <t xml:space="preserve">SUP-03: condiciones que se dan por ciertas y de las que dependen partes del alcance. Si un supuesto se cae, se cae lo que sostiene.</t>
  </si>
  <si>
    <t xml:space="preserve">COMO SE USA</t>
  </si>
  <si>
    <t xml:space="preserve">Celdas amarillas</t>
  </si>
  <si>
    <t xml:space="preserve">Son las que el equipo debe diligenciar o confirmar. Todo lo demás ya viene propuesto.</t>
  </si>
  <si>
    <t xml:space="preserve">Columna Estado</t>
  </si>
  <si>
    <t xml:space="preserve">Lista desplegable: Por hacer / En progreso / En revisión / Hecho. Es lo que se refleja en el tablero del equipo.</t>
  </si>
  <si>
    <t xml:space="preserve">Columnas MoSCoW y Puntos</t>
  </si>
  <si>
    <t xml:space="preserve">Listas desplegables. Si se cambia un valor, el Resumen y las Épicas se recalculan solos.</t>
  </si>
  <si>
    <t xml:space="preserve">Historia de referencia</t>
  </si>
  <si>
    <t xml:space="preserve">HU-04 (Cerrar mi sesión) anclada en 2 puntos. Todas las demás se estimaron comparándose con ella.</t>
  </si>
  <si>
    <t xml:space="preserve">Puntos, no horas</t>
  </si>
  <si>
    <t xml:space="preserve">La estimación es relativa. Un 8 es cuatro veces más grande que un 2, pero no equivale a un número fijo de horas.</t>
  </si>
  <si>
    <t xml:space="preserve">QUE CAMBIO FRENTE A LA v2  (detalle completo en la hoja Control de cambios)</t>
  </si>
  <si>
    <t xml:space="preserve">Nombre del proyecto</t>
  </si>
  <si>
    <t xml:space="preserve">El libro decía UrbanSpot. El proyecto se llama APAR-CAR y la ficha correcta es 3229209.</t>
  </si>
  <si>
    <t xml:space="preserve">Rol de operario</t>
  </si>
  <si>
    <t xml:space="preserve">Entra a la primera versión. El Acta de Constitución lo promete en el objetivo general y en el Entregable 5, y el documento de Stakeholders lo clasifica como STK-02 usuario clave. Antes estaba fuera de alcance: era una contradicción entre entregables.</t>
  </si>
  <si>
    <t xml:space="preserve">Visitante ocasional</t>
  </si>
  <si>
    <t xml:space="preserve">Deja de ser un actor pasivo. Ahora puede consultar su tiquete con un código entregado a la entrada, nunca con la placa (STK-04).</t>
  </si>
  <si>
    <t xml:space="preserve">Reglas de cobro</t>
  </si>
  <si>
    <t xml:space="preserve">RN-14 quedo definida: cobro proporcional por bloques de 24 horas, cobrando por bloque el menor entre el proporcional y la tarifa día, con cobro mínimo de una hora.</t>
  </si>
  <si>
    <t xml:space="preserve">Derecho de supresión</t>
  </si>
  <si>
    <t xml:space="preserve">HU-37 pasa de eliminar a inhabilitar y luego anonimizar, amparada en el deber contractual que reconoce la propia norma. Los registros de dinero sobreviven sin titular identificable.</t>
  </si>
  <si>
    <t xml:space="preserve">Historias divisibles</t>
  </si>
  <si>
    <t xml:space="preserve">HU-12 se dividió en HU-12a y HU-12b. HU-21 se mantiene unida con justificación escrita.</t>
  </si>
  <si>
    <t xml:space="preserve">Aviso de vencimiento</t>
  </si>
  <si>
    <t xml:space="preserve">La antigua HU-31 se retiro del alcance: exige un proceso programado y un servicio de correo que no aportan al nucleo de la v1.</t>
  </si>
  <si>
    <t xml:space="preserve">Decisiones cerradas</t>
  </si>
  <si>
    <t xml:space="preserve">Los supuestos SUP-01 y SUP-02 desaparecen. ADR-003 y ADR-004 pasan a Aceptada y se agregan ADR-005, ADR-006 y ADR-007.</t>
  </si>
  <si>
    <t xml:space="preserve">Trazabilidad ampliada</t>
  </si>
  <si>
    <t xml:space="preserve">Cada historia y cada necesidad quedan cruzadas con el stakeholder que la origina, y cada RNF con el riesgo del Análisis de Seguridad que mitiga.</t>
  </si>
  <si>
    <t xml:space="preserve">DECISIONES CERRADAS EL 14 DE AGOSTO DE 2026</t>
  </si>
  <si>
    <t xml:space="preserve">Modelo de espacios</t>
  </si>
  <si>
    <t xml:space="preserve">Celdas identificadas con código propio (A-01, A-02), no un contador. Confirmado por el Acta de Constitución. Ver ADR-003.</t>
  </si>
  <si>
    <t xml:space="preserve">Ciclo de facturación</t>
  </si>
  <si>
    <t xml:space="preserve">Rodante: 30 días calendario desde la fecha del pago. Evita el prorrateo. Ver ADR-004 y RN-11.</t>
  </si>
  <si>
    <t xml:space="preserve">Código de vinculación</t>
  </si>
  <si>
    <t xml:space="preserve">Vence a los 7 días. Ver RN-05.</t>
  </si>
  <si>
    <t xml:space="preserve">Estado Por vencer</t>
  </si>
  <si>
    <t xml:space="preserve">Se activa 3 días antes del vencimiento. Ver RN-12.</t>
  </si>
  <si>
    <t xml:space="preserve">Roles del sistema</t>
  </si>
  <si>
    <t xml:space="preserve">Tres roles con credenciales: administrador, operario y cliente afiliado. A ellos se suman Persona nueva y Cliente ocasional como actores sin rol. Ver ADR-005.</t>
  </si>
  <si>
    <t xml:space="preserve">PENDIENTE DE DILIGENCIAR POR EL EQUIPO</t>
  </si>
  <si>
    <t xml:space="preserve">Stack tecnológico</t>
  </si>
  <si>
    <t xml:space="preserve">El Acta lista MySQL, XAMPP, Visual Studio Code, GitHub y Figma como recursos, pero no hay un ADR que registre la decisión del lenguaje de servidor ni del framework. Falta ADR-008.</t>
  </si>
  <si>
    <t xml:space="preserve">Casos de prueba</t>
  </si>
  <si>
    <t xml:space="preserve">La ultima columna de la hoja Trazabilidad se completa en la fase de Pruebas y ajustes (01/12/2026 - 22/12/2026 según el cronograma del Acta).</t>
  </si>
  <si>
    <t xml:space="preserve">Parqueadero de referencia</t>
  </si>
  <si>
    <t xml:space="preserve">El Acta identifica como riesgo la poca disponibilidad de un parqueadero real para validar. Registrar aquí cual se consiguió y en que fecha se hizo la entrevista.</t>
  </si>
  <si>
    <t xml:space="preserve">Resumen del backlog</t>
  </si>
  <si>
    <t xml:space="preserve">APAR-CAR v3.5 - Proyecto de grado - Tecnólogo en Análisis y Desarrollo de Software - Ficha 3229209. Actualizado el 11 de septiembre de 2026.</t>
  </si>
  <si>
    <t xml:space="preserve">Todo en esta hoja se calcula con fórmulas desde las demás hojas. No escriba valores a mano aquí.</t>
  </si>
  <si>
    <t xml:space="preserve">Indicador</t>
  </si>
  <si>
    <t xml:space="preserve">Valor</t>
  </si>
  <si>
    <t xml:space="preserve">Nota</t>
  </si>
  <si>
    <t xml:space="preserve">Total de historias de usuario</t>
  </si>
  <si>
    <t xml:space="preserve">Mínimo exigido por la guía: 8</t>
  </si>
  <si>
    <t xml:space="preserve">Roles del sistema (con credenciales)</t>
  </si>
  <si>
    <t xml:space="preserve">Administrador, Operario y Cliente afiliado. Mínimo exigido por la guía: 2</t>
  </si>
  <si>
    <t xml:space="preserve">Actores del sistema</t>
  </si>
  <si>
    <t xml:space="preserve">Los 3 roles más Persona nueva y Cliente ocasional. Son los que aparecen en BPMN, secuencia y actividades</t>
  </si>
  <si>
    <t xml:space="preserve">Total de puntos del proyecto</t>
  </si>
  <si>
    <t xml:space="preserve">Estimación relativa, no horas</t>
  </si>
  <si>
    <t xml:space="preserve">Puntos en Must</t>
  </si>
  <si>
    <t xml:space="preserve">Producto mínimo viable</t>
  </si>
  <si>
    <t xml:space="preserve">Puntos en Should</t>
  </si>
  <si>
    <t xml:space="preserve">Importante, no bloqueante</t>
  </si>
  <si>
    <t xml:space="preserve">Puntos en Could</t>
  </si>
  <si>
    <t xml:space="preserve">Si sobra capacidad</t>
  </si>
  <si>
    <t xml:space="preserve">% de esfuerzo en Must</t>
  </si>
  <si>
    <t xml:space="preserve">Referencia sana: entre 50% y 65%. Por encima de 70% el alcance del MVP está inflado</t>
  </si>
  <si>
    <t xml:space="preserve">Historias Must</t>
  </si>
  <si>
    <t xml:space="preserve">Historias Should</t>
  </si>
  <si>
    <t xml:space="preserve">Historias Could</t>
  </si>
  <si>
    <t xml:space="preserve">HU-04</t>
  </si>
  <si>
    <t xml:space="preserve">Cerrar mi sesión, anclada en 2 puntos. Todas las demás se estimaron contra ella</t>
  </si>
  <si>
    <t xml:space="preserve">Requisitos funcionales</t>
  </si>
  <si>
    <t xml:space="preserve">Catálogo incorporado al backlog en la v3.2</t>
  </si>
  <si>
    <t xml:space="preserve">Reglas de negocio definidas</t>
  </si>
  <si>
    <t xml:space="preserve">Requisitos no funcionales</t>
  </si>
  <si>
    <t xml:space="preserve">Decisiones de arquitectura</t>
  </si>
  <si>
    <t xml:space="preserve">10 decisiones, todas aceptadas. ADR-008 (stack tecnologico) se cerro el 11/09/2026 y ADR-010 (estilo arquitectonico) se registro en la v3.4.</t>
  </si>
  <si>
    <t xml:space="preserve">Necesidades trazadas</t>
  </si>
  <si>
    <t xml:space="preserve">Cada una cruzada con su stakeholder de origen</t>
  </si>
  <si>
    <t xml:space="preserve">Elementos fuera de alcance</t>
  </si>
  <si>
    <t xml:space="preserve">Documentar el Won't es parte de la evidencia. Cuenta las filas marcadas como Won't en la hoja Fuera de alcance.</t>
  </si>
  <si>
    <t xml:space="preserve">Historias por hacer</t>
  </si>
  <si>
    <t xml:space="preserve">Se actualiza a medida que avanza el desarrollo</t>
  </si>
  <si>
    <t xml:space="preserve">Historias terminadas</t>
  </si>
  <si>
    <t xml:space="preserve">Avance del proyecto (%)</t>
  </si>
  <si>
    <t xml:space="preserve">Puntos terminados sobre puntos totales</t>
  </si>
  <si>
    <t xml:space="preserve">Historias técnicas</t>
  </si>
  <si>
    <t xml:space="preserve">Trabajo de soporte justificado por una decisión de arquitectura</t>
  </si>
  <si>
    <t xml:space="preserve">Casos de uso especificados</t>
  </si>
  <si>
    <t xml:space="preserve">Solo los flujos con bifurcaciones que la historia no alcanza a mostrar</t>
  </si>
  <si>
    <t xml:space="preserve">Supuestos abiertos</t>
  </si>
  <si>
    <t xml:space="preserve">Condiciones de las que depende parte del alcance</t>
  </si>
  <si>
    <t xml:space="preserve">Actores y necesidades</t>
  </si>
  <si>
    <t xml:space="preserve">Para quien se escribe el software. El libro distingue tres categorías: los 3 ROLES del sistema, que tienen credenciales y permisos; los 5 ACTORES, que son los roles más Persona nueva y Cliente ocasional, y son quienes inician una interacción en los diagramas; y los 6 INTERESADOS del proyecto, que agregan al equipo de desarrollo y al instructor, quienes no operan el sistema.</t>
  </si>
  <si>
    <t xml:space="preserve">Actor / Rol</t>
  </si>
  <si>
    <t xml:space="preserve">Tipo</t>
  </si>
  <si>
    <t xml:space="preserve">Descripción</t>
  </si>
  <si>
    <t xml:space="preserve">Que necesita lograr</t>
  </si>
  <si>
    <t xml:space="preserve">Por qué le importa</t>
  </si>
  <si>
    <t xml:space="preserve">Épicas relacionadas</t>
  </si>
  <si>
    <t xml:space="preserve">Stakeholder</t>
  </si>
  <si>
    <t xml:space="preserve">Persona nueva</t>
  </si>
  <si>
    <t xml:space="preserve">Actor sin rol (no autenticado)</t>
  </si>
  <si>
    <t xml:space="preserve">Usuario no autenticado</t>
  </si>
  <si>
    <t xml:space="preserve">Crear una cuenta e ingresar al sistema por primera vez, indicando si administra un parqueadero o si es cliente de uno.</t>
  </si>
  <si>
    <t xml:space="preserve">Es su único camino de entrada. Si el registro es confuso o le pide datos que no tiene a la mano, abandona.</t>
  </si>
  <si>
    <t xml:space="preserve">EP-01</t>
  </si>
  <si>
    <t xml:space="preserve">-</t>
  </si>
  <si>
    <t xml:space="preserve">Administrador</t>
  </si>
  <si>
    <t xml:space="preserve">Rol del sistema (con credenciales)</t>
  </si>
  <si>
    <t xml:space="preserve">Propietario del parqueadero</t>
  </si>
  <si>
    <t xml:space="preserve">Configurar su parqueadero, registrar sus operarios, afiliar clientes, cobrar y ver como va el negocio. Solo sobre SU parqueadero.</t>
  </si>
  <si>
    <t xml:space="preserve">Es su fuente de ingresos. Un error de cálculo o un cliente en mora que se le pasa es plata que pierde ese mismo día.</t>
  </si>
  <si>
    <t xml:space="preserve">EP-01 a EP-08</t>
  </si>
  <si>
    <t xml:space="preserve">STK-01</t>
  </si>
  <si>
    <t xml:space="preserve">Operario</t>
  </si>
  <si>
    <t xml:space="preserve">Vigilante o portero de turno, creado por el administrador</t>
  </si>
  <si>
    <t xml:space="preserve">Registrar entradas y salidas con rapidez durante su turno y ver la ocupación, sin acceso a tarifas, cartera ni reportes.</t>
  </si>
  <si>
    <t xml:space="preserve">Es quién está realmente en la caseta. Si el registro le toma más pasos que el cuaderno, no lo usa y el sistema fracasa.</t>
  </si>
  <si>
    <t xml:space="preserve">EP-01, EP-04</t>
  </si>
  <si>
    <t xml:space="preserve">STK-02</t>
  </si>
  <si>
    <t xml:space="preserve">Cliente afiliado</t>
  </si>
  <si>
    <t xml:space="preserve">Usuario del parqueadero, vinculado a uno o más parqueaderos</t>
  </si>
  <si>
    <t xml:space="preserve">Consultar el historial de su vehículo, saber si está al día y revisar sus pagos registrados.</t>
  </si>
  <si>
    <t xml:space="preserve">Paga una mensualidad y hoy no tiene forma de verificar nada. Quedar en mora sin saberlo le puede costar el cupo.</t>
  </si>
  <si>
    <t xml:space="preserve">EP-01, EP-03, EP-06, EP-08</t>
  </si>
  <si>
    <t xml:space="preserve">STK-03</t>
  </si>
  <si>
    <t xml:space="preserve">Cliente ocasional</t>
  </si>
  <si>
    <t xml:space="preserve">Actor sin rol (sin credenciales)</t>
  </si>
  <si>
    <t xml:space="preserve">Visitante de paso, sin cuenta ni credenciales. No confundir con el cliente afiliado de modalidad por horas, que si tiene cuenta.</t>
  </si>
  <si>
    <t xml:space="preserve">Entrar, parquear y salir pagando por el tiempo usado, y poder consultar su tiquete abierto con el código que le dieron a la entrada.</t>
  </si>
  <si>
    <t xml:space="preserve">Es la mayor parte de los movimientos de un parqueadero pequeño. El sistema debe atenderlo sin obligarlo a registrarse.</t>
  </si>
  <si>
    <t xml:space="preserve">EP-04</t>
  </si>
  <si>
    <t xml:space="preserve">STK-04</t>
  </si>
  <si>
    <t xml:space="preserve">Equipo de desarrollo</t>
  </si>
  <si>
    <t xml:space="preserve">Interesado del proyecto, no actor del sistema</t>
  </si>
  <si>
    <t xml:space="preserve">Actor del proyecto, no del sistema</t>
  </si>
  <si>
    <t xml:space="preserve">Contar con requisitos estables y un alcance delimitado para construir, documentar y sustentar la plataforma.</t>
  </si>
  <si>
    <t xml:space="preserve">Un backlog abierto obliga a rehacer trabajo ya hecho y pone en riesgo el cronograma del Acta de Constitución.</t>
  </si>
  <si>
    <t xml:space="preserve">STK-05</t>
  </si>
  <si>
    <t xml:space="preserve">Instructor del programa</t>
  </si>
  <si>
    <t xml:space="preserve">Evaluador y asesor, no usuario del sistema</t>
  </si>
  <si>
    <t xml:space="preserve">Verificar que el proyecto aplique correctamente los conceptos de ingenieria de software.</t>
  </si>
  <si>
    <t xml:space="preserve">Aprueba o rechaza los entregables academicos. Le importa sobre todo la coherencia entre acta, stakeholders y requerimientos.</t>
  </si>
  <si>
    <t xml:space="preserve">STK-06</t>
  </si>
  <si>
    <t xml:space="preserve">Que debe hacer el sistema, con la estructura actor + acción + objeto + condición. Cada requisito se deriva de un objetivo específico del Acta, del documento de Stakeholders o del Análisis de Seguridad, y se implementa a traves de las historias de usuario que lo desarrollan. Catálogo incorporado al backlog en la v3.2: antes vivía únicamente en el Anexo A de la plantilla P01.</t>
  </si>
  <si>
    <t xml:space="preserve">ID</t>
  </si>
  <si>
    <t xml:space="preserve">Nombre del requisito</t>
  </si>
  <si>
    <t xml:space="preserve">Origen</t>
  </si>
  <si>
    <t xml:space="preserve">Épica</t>
  </si>
  <si>
    <t xml:space="preserve">Historias que lo implementan</t>
  </si>
  <si>
    <t xml:space="preserve">RF-01</t>
  </si>
  <si>
    <t xml:space="preserve">Registro de cuentas de administrador y cliente</t>
  </si>
  <si>
    <t xml:space="preserve">Permitir que una persona nueva cree su cuenta indicando si administra un parqueadero o si es cliente de uno. El registro del administrador crea también su parqueadero.</t>
  </si>
  <si>
    <t xml:space="preserve">Acta, Objetivo Específico 2</t>
  </si>
  <si>
    <t xml:space="preserve">HU-01, HU-02</t>
  </si>
  <si>
    <t xml:space="preserve">RF-02</t>
  </si>
  <si>
    <t xml:space="preserve">Autenticación y direccionamiento por rol</t>
  </si>
  <si>
    <t xml:space="preserve">Validar credenciales, abrir sesión, fijar el parqueadero desde la sesión y dirigir a cada usuario al panel que le corresponde según su rol.</t>
  </si>
  <si>
    <t xml:space="preserve">HU-03, HU-04, HU-46</t>
  </si>
  <si>
    <t xml:space="preserve">RF-03</t>
  </si>
  <si>
    <t xml:space="preserve">Gestión del perfil y recuperación de contraseña</t>
  </si>
  <si>
    <t xml:space="preserve">Permitir a cada usuario actualizar sus datos, cambiar su contraseña y recuperar el acceso de forma autonoma.</t>
  </si>
  <si>
    <t xml:space="preserve">HU-05, HU-06</t>
  </si>
  <si>
    <t xml:space="preserve">RF-04</t>
  </si>
  <si>
    <t xml:space="preserve">Administración de cuentas de operario</t>
  </si>
  <si>
    <t xml:space="preserve">Permitir al administrador crear, habilitar y desactivar cuentas de operario limitadas a su parqueadero y con permisos restringidos.</t>
  </si>
  <si>
    <t xml:space="preserve">Acta, Objetivo General y Específico 2</t>
  </si>
  <si>
    <t xml:space="preserve">HU-38, HU-39</t>
  </si>
  <si>
    <t xml:space="preserve">RF-05</t>
  </si>
  <si>
    <t xml:space="preserve">Gestión del inventario de celdas</t>
  </si>
  <si>
    <t xml:space="preserve">Registrar las celdas del parqueadero con código único y tipo de vehículo permitido.</t>
  </si>
  <si>
    <t xml:space="preserve">Acta, Objetivo Específico 4</t>
  </si>
  <si>
    <t xml:space="preserve">EP-02</t>
  </si>
  <si>
    <t xml:space="preserve">HU-07, HU-08</t>
  </si>
  <si>
    <t xml:space="preserve">RF-06</t>
  </si>
  <si>
    <t xml:space="preserve">Visualización de la ocupación en tiempo real</t>
  </si>
  <si>
    <t xml:space="preserve">Mostrar el estado actual de cada celda y la lista de vehículos presentes en el parqueadero.</t>
  </si>
  <si>
    <t xml:space="preserve">EP-02, EP-04</t>
  </si>
  <si>
    <t xml:space="preserve">HU-23, HU-33</t>
  </si>
  <si>
    <t xml:space="preserve">RF-07</t>
  </si>
  <si>
    <t xml:space="preserve">Gestión y versionado de tarifas</t>
  </si>
  <si>
    <t xml:space="preserve">Definir los valores por hora, por día y por mensualidad, versionarlos con fecha de vigencia y consultar su histórico.</t>
  </si>
  <si>
    <t xml:space="preserve">Acta, Objetivo Específico 5</t>
  </si>
  <si>
    <t xml:space="preserve">HU-09, HU-11</t>
  </si>
  <si>
    <t xml:space="preserve">RF-08</t>
  </si>
  <si>
    <t xml:space="preserve">Administración de los datos del parqueadero</t>
  </si>
  <si>
    <t xml:space="preserve">Permitir corregir o actualizar el nombre, la dirección y la ubicación del parqueadero.</t>
  </si>
  <si>
    <t xml:space="preserve">Acta, Objetivo Específico 1</t>
  </si>
  <si>
    <t xml:space="preserve">HU-10</t>
  </si>
  <si>
    <t xml:space="preserve">RF-09</t>
  </si>
  <si>
    <t xml:space="preserve">Afiliación de clientes y vehículos</t>
  </si>
  <si>
    <t xml:space="preserve">Registrar clientes con sus vehículos, consultarlos, asociarles vehículos adicionales, cerrar vínculos por cambio de dueño y desactivar afiliaciones.</t>
  </si>
  <si>
    <t xml:space="preserve">EP-03</t>
  </si>
  <si>
    <t xml:space="preserve">HU-12a, HU-14, HU-15, HU-16, HU-17, HU-18</t>
  </si>
  <si>
    <t xml:space="preserve">RF-10</t>
  </si>
  <si>
    <t xml:space="preserve">Vinculación del cliente mediante código</t>
  </si>
  <si>
    <t xml:space="preserve">Emitir, entregar y validar el código que permite al cliente asociar su cuenta a su vehículo y a un parqueadero.</t>
  </si>
  <si>
    <t xml:space="preserve">Acta, Objetivo Específico 1 + ADR-002</t>
  </si>
  <si>
    <t xml:space="preserve">HU-12b, HU-13</t>
  </si>
  <si>
    <t xml:space="preserve">RF-11</t>
  </si>
  <si>
    <t xml:space="preserve">Registro de entrada de vehículos</t>
  </si>
  <si>
    <t xml:space="preserve">Registrar el ingreso de vehículos afiliados y ocasionales asignando una celda libre compatible y congelando la tarifa vigente.</t>
  </si>
  <si>
    <t xml:space="preserve">Acta, Objetivo Específico 3</t>
  </si>
  <si>
    <t xml:space="preserve">HU-19, HU-20</t>
  </si>
  <si>
    <t xml:space="preserve">RF-12</t>
  </si>
  <si>
    <t xml:space="preserve">Registro de salida y liquidación automática</t>
  </si>
  <si>
    <t xml:space="preserve">Cerrar el movimiento, liberar la celda y calcular automáticamente el valor a pagar según el tiempo de permanencia.</t>
  </si>
  <si>
    <t xml:space="preserve">Acta, Objetivos Específicos 3 y 5</t>
  </si>
  <si>
    <t xml:space="preserve">HU-21</t>
  </si>
  <si>
    <t xml:space="preserve">RF-13</t>
  </si>
  <si>
    <t xml:space="preserve">Corrección y anulación de movimientos</t>
  </si>
  <si>
    <t xml:space="preserve">Permitir anular o corregir un movimiento mal registrado dejando constancia del motivo, sin alterar el registro original.</t>
  </si>
  <si>
    <t xml:space="preserve">HU-22</t>
  </si>
  <si>
    <t xml:space="preserve">RF-14</t>
  </si>
  <si>
    <t xml:space="preserve">Registro de pagos y gestión de cartera</t>
  </si>
  <si>
    <t xml:space="preserve">Registrar los pagos de mensualidad, clasificar a los clientes por estado de cartera, consultar su historial y generar la carta de cobro.</t>
  </si>
  <si>
    <t xml:space="preserve">EP-05</t>
  </si>
  <si>
    <t xml:space="preserve">HU-24, HU-25, HU-26, HU-27, HU-47</t>
  </si>
  <si>
    <t xml:space="preserve">RF-15</t>
  </si>
  <si>
    <t xml:space="preserve">Portal de consulta del cliente</t>
  </si>
  <si>
    <t xml:space="preserve">Permitir al cliente afiliado revisar el historial de su vehículo, el estado de su mensualidad y sus pagos registrados.</t>
  </si>
  <si>
    <t xml:space="preserve">Acta, Objetivo Específico 6</t>
  </si>
  <si>
    <t xml:space="preserve">EP-06</t>
  </si>
  <si>
    <t xml:space="preserve">HU-28, HU-29, HU-30</t>
  </si>
  <si>
    <t xml:space="preserve">RF-16</t>
  </si>
  <si>
    <t xml:space="preserve">Consulta pública del tiquete del cliente ocasional</t>
  </si>
  <si>
    <t xml:space="preserve">Permitir al visitante de paso consultar su tiquete abierto mediante un código, sin cuenta ni credenciales.</t>
  </si>
  <si>
    <t xml:space="preserve">Stakeholders, STK-04</t>
  </si>
  <si>
    <t xml:space="preserve">HU-40</t>
  </si>
  <si>
    <t xml:space="preserve">RF-17</t>
  </si>
  <si>
    <t xml:space="preserve">Generación de reportes de operación</t>
  </si>
  <si>
    <t xml:space="preserve">Generar informes de ingresos, ocupación y movimientos por rango de fechas, con filtros y exportables.</t>
  </si>
  <si>
    <t xml:space="preserve">Acta, Objetivo Específico 7</t>
  </si>
  <si>
    <t xml:space="preserve">EP-07</t>
  </si>
  <si>
    <t xml:space="preserve">HU-32, HU-33, HU-34</t>
  </si>
  <si>
    <t xml:space="preserve">RF-18</t>
  </si>
  <si>
    <t xml:space="preserve">Consentimiento para el tratamiento de datos personales</t>
  </si>
  <si>
    <t xml:space="preserve">Presentar la política de tratamiento y exigir su aceptación explicita antes de almacenar datos personales.</t>
  </si>
  <si>
    <t xml:space="preserve">Análisis de Seguridad (R1) + Ley 1581 de 2012</t>
  </si>
  <si>
    <t xml:space="preserve">EP-08</t>
  </si>
  <si>
    <t xml:space="preserve">HU-35</t>
  </si>
  <si>
    <t xml:space="preserve">RF-19</t>
  </si>
  <si>
    <t xml:space="preserve">Bitácora de auditoría de operaciones sensibles</t>
  </si>
  <si>
    <t xml:space="preserve">Registrar en una bitácora solo anexable toda operación sobre dinero, tarifas, vinculaciones, cuentas y datos personales.</t>
  </si>
  <si>
    <t xml:space="preserve">Análisis de Seguridad (R1, R4)</t>
  </si>
  <si>
    <t xml:space="preserve">HU-36</t>
  </si>
  <si>
    <t xml:space="preserve">RF-20</t>
  </si>
  <si>
    <t xml:space="preserve">Atención del derecho de supresión de datos</t>
  </si>
  <si>
    <t xml:space="preserve">Recibir y tramitar las solicitudes de eliminación de datos personales mediante inhabilitación y posterior anonimización.</t>
  </si>
  <si>
    <t xml:space="preserve">Ley 1581 de 2012 + ADR-007</t>
  </si>
  <si>
    <t xml:space="preserve">HU-37</t>
  </si>
  <si>
    <t xml:space="preserve">RF-21</t>
  </si>
  <si>
    <t xml:space="preserve">Emisión y ciclo de vida del código QR del vehículo</t>
  </si>
  <si>
    <t xml:space="preserve">Emitir un código QR por cada vehículo afiliado, entregarlo al titular, y permitir revocarlo y reemitirlo cuando se pierda, se deteriore o cambie el dueño del vehículo. El código QR del cliente ocasional se emite por movimiento y se invalida con la salida.</t>
  </si>
  <si>
    <t xml:space="preserve">Decisión del equipo 28/08/2026 + ADR-009</t>
  </si>
  <si>
    <t xml:space="preserve">EP-03, EP-04</t>
  </si>
  <si>
    <t xml:space="preserve">HU-41, HU-42</t>
  </si>
  <si>
    <t xml:space="preserve">RF-22</t>
  </si>
  <si>
    <t xml:space="preserve">Registro de movimientos mediante lector de código QR</t>
  </si>
  <si>
    <t xml:space="preserve">Permitir que un dispositivo lector envíe a la API el código QR leido en la entrada o en la salida, para que el operario confirme la placa y cierre el registro. El registro manual permanece disponible como vía alterna cuando el lector no esta operativo.</t>
  </si>
  <si>
    <t xml:space="preserve">HU-43, HU-44, HU-45</t>
  </si>
  <si>
    <t xml:space="preserve">Los 20 primeros requisitos se tomaron integros del Anexo A de la plantilla P01. RF-21 y RF-22 son nuevos en la v3.2 y recogen la decisión de registrar los movimientos con lector de código QR (ADR-009).</t>
  </si>
  <si>
    <t xml:space="preserve">Agrupadas por capacidad del sistema, no por pantalla. Las tres ultimas columnas se calculan solas desde la hoja Historias de Usuario.</t>
  </si>
  <si>
    <t xml:space="preserve">Titulo de la épica</t>
  </si>
  <si>
    <t xml:space="preserve">Objetivo de negocio / valor</t>
  </si>
  <si>
    <t xml:space="preserve">N historias</t>
  </si>
  <si>
    <t xml:space="preserve">Puntos</t>
  </si>
  <si>
    <t xml:space="preserve">% del total</t>
  </si>
  <si>
    <t xml:space="preserve">Identidad y acceso</t>
  </si>
  <si>
    <t xml:space="preserve">Creación de cuentas, autenticación con tres roles, creación de operarios, recuperación de contraseña y gestión del perfil propio. Es la única puerta de entrada al sistema.</t>
  </si>
  <si>
    <t xml:space="preserve">Que cada persona entre de forma segura y que el sistema sepa automáticamente que información mostrarle según su rol.</t>
  </si>
  <si>
    <t xml:space="preserve">Configuración del parqueadero</t>
  </si>
  <si>
    <t xml:space="preserve">Datos del parqueadero, inventario de celdas identificadas y tarifas versionadas. Es lo que el administrador deja listo una vez para que la operación diaria funcione sola.</t>
  </si>
  <si>
    <t xml:space="preserve">Que el administrador configure su negocio una sola vez y el sistema calcule todo lo demás sin intervención manual.</t>
  </si>
  <si>
    <t xml:space="preserve">Vínculo entre una persona, un vehículo y un parqueadero. Incluye el registro que hace el administrador, el código de vinculación y el cierre del vínculo por cambio de dueño.</t>
  </si>
  <si>
    <t xml:space="preserve">Que cada cliente quede correctamente asociado a su parqueadero y a su vehículo, sin duplicados y sin que nadie pueda reclamar información ajena.</t>
  </si>
  <si>
    <t xml:space="preserve">Operación diaria de entradas y salidas</t>
  </si>
  <si>
    <t xml:space="preserve">El nucleo del sistema: registrar quien entra, quien sale, cuanto tiempo estuvo y cuanto debe pagar. Cubre al cliente afiliado y al ocasional, y es la épica que más usa el operario.</t>
  </si>
  <si>
    <t xml:space="preserve">Que el control de acceso y el cobro dejen de hacerse a mano, eliminando errores de cálculo y perdida de ingresos.</t>
  </si>
  <si>
    <t xml:space="preserve">Cartera y pagos de mensualidades</t>
  </si>
  <si>
    <t xml:space="preserve">Estado de cuenta de los clientes mensuales, registro de pagos, detección de mora y carta de cobro.</t>
  </si>
  <si>
    <t xml:space="preserve">Que el administrador sepa en todo momento quien le debe y cuanto, sin depender de cuadernos.</t>
  </si>
  <si>
    <t xml:space="preserve">Portal del cliente</t>
  </si>
  <si>
    <t xml:space="preserve">Vista propia del cliente sobre su vehículo: historial de movimientos, estado de su mensualidad y sus pagos registrados.</t>
  </si>
  <si>
    <t xml:space="preserve">Que el cliente consulte su propia información sin tener que preguntarle al administrador, generando transparencia.</t>
  </si>
  <si>
    <t xml:space="preserve">Reportes y analitica</t>
  </si>
  <si>
    <t xml:space="preserve">Informes de ingresos, ocupación y movimientos por rango de fechas, exportables.</t>
  </si>
  <si>
    <t xml:space="preserve">Que el administrador entienda como va su negocio con datos y no con percepción.</t>
  </si>
  <si>
    <t xml:space="preserve">Seguridad, auditoría y datos personales</t>
  </si>
  <si>
    <t xml:space="preserve">Capacidades transversales: consentimiento de tratamiento de datos, bitácora de auditoría de operaciones sensibles y ejercicio del derecho de supresión.</t>
  </si>
  <si>
    <t xml:space="preserve">Que el sistema sea defendible legal y técnicamente, y que toda operación sobre dinero o datos personales quede rastreada.</t>
  </si>
  <si>
    <t xml:space="preserve">TOTAL</t>
  </si>
  <si>
    <t xml:space="preserve">Historias de usuario</t>
  </si>
  <si>
    <t xml:space="preserve">Una fila por historia, con su escenario de error. Las columnas Épica, MoSCoW, Puntos y Estado son listas desplegables. La columna Stakeholder cruza cada historia con el documento de Stakeholders v2.</t>
  </si>
  <si>
    <t xml:space="preserve">APAR-CAR v3.2 - Ficha 3229209. Historia de referencia: HU-04 (Cerrar mi sesión), anclada en 2 puntos.</t>
  </si>
  <si>
    <t xml:space="preserve">Rol principal</t>
  </si>
  <si>
    <t xml:space="preserve">Titulo</t>
  </si>
  <si>
    <t xml:space="preserve">Como (rol)</t>
  </si>
  <si>
    <t xml:space="preserve">Quiero (acción)</t>
  </si>
  <si>
    <t xml:space="preserve">Para (beneficio)</t>
  </si>
  <si>
    <t xml:space="preserve">Criterios de aceptación (Dado / Cuando / Entonces)</t>
  </si>
  <si>
    <t xml:space="preserve">Escenario de error (Dado / Cuando / Entonces)</t>
  </si>
  <si>
    <t xml:space="preserve">MoSCoW</t>
  </si>
  <si>
    <t xml:space="preserve">Estado</t>
  </si>
  <si>
    <t xml:space="preserve">Dependencias</t>
  </si>
  <si>
    <t xml:space="preserve">Trazabilidad (RN / RNF / ADR)</t>
  </si>
  <si>
    <t xml:space="preserve">HU-01</t>
  </si>
  <si>
    <t xml:space="preserve">Registrarme como administrador con mi parqueadero</t>
  </si>
  <si>
    <t xml:space="preserve">persona nueva que administra un parqueadero</t>
  </si>
  <si>
    <t xml:space="preserve">crear mi cuenta indicando mis datos personales y los datos de mi parqueadero</t>
  </si>
  <si>
    <t xml:space="preserve">que el sistema cree mi parqueadero y me deje administrarlo desde el primer ingreso</t>
  </si>
  <si>
    <t xml:space="preserve">Dado que soy una persona nueva y elijo el tipo de cuenta administrador, cuando diligencio nombres, apellidos, correo, teléfono, contraseña y los datos de mi parqueadero (nombre, dirección, ubicación) y acepto la política de tratamiento de datos, entonces el sistema crea mi usuario, crea el parqueadero, me afilia a el con rol administrador y me permite iniciar sesión.</t>
  </si>
  <si>
    <t xml:space="preserve">Dado que el correo que ingreso ya está registrado, cuando intento crear la cuenta, entonces el sistema no la crea y me indica que ese correo ya existe, ofreciendome recuperar la contraseña.</t>
  </si>
  <si>
    <t xml:space="preserve">Must</t>
  </si>
  <si>
    <t xml:space="preserve">Por hacer</t>
  </si>
  <si>
    <t xml:space="preserve">RN-08, RN-09, RNF-01, RNF-03, RNF-05, ADR-001</t>
  </si>
  <si>
    <t xml:space="preserve">HU-02</t>
  </si>
  <si>
    <t xml:space="preserve">Registrarme como cliente</t>
  </si>
  <si>
    <t xml:space="preserve">persona nueva que usa un parqueadero</t>
  </si>
  <si>
    <t xml:space="preserve">crear mi cuenta con mis datos personales</t>
  </si>
  <si>
    <t xml:space="preserve">poder después vincularme a mi vehículo y consultar mi información</t>
  </si>
  <si>
    <t xml:space="preserve">Dado que soy una persona nueva y elijo el tipo de cuenta cliente, cuando diligencio mis datos y acepto la política de tratamiento de datos, entonces el sistema crea mi usuario sin afiliación y me lleva a la pantalla de vinculación de vehículo.</t>
  </si>
  <si>
    <t xml:space="preserve">Dado que dejo campos obligatorios vacíos o el correo tiene formato invalido, cuando intento registrarme, entonces el sistema señala cada campo con error y no crea la cuenta.</t>
  </si>
  <si>
    <t xml:space="preserve">RN-08, RN-09, RNF-03, RNF-05</t>
  </si>
  <si>
    <t xml:space="preserve">HU-03</t>
  </si>
  <si>
    <t xml:space="preserve">Administrador / Operario / Cliente afiliado</t>
  </si>
  <si>
    <t xml:space="preserve">Iniciar sesión y ser dirigido según mi rol</t>
  </si>
  <si>
    <t xml:space="preserve">usuario registrado</t>
  </si>
  <si>
    <t xml:space="preserve">ingresar con mi correo y contraseña</t>
  </si>
  <si>
    <t xml:space="preserve">entrar directamente a la parte del sistema que me corresponde</t>
  </si>
  <si>
    <t xml:space="preserve">Dado que ingreso credenciales correctas, cuando presiono Iniciar sesión, entonces el sistema abre mi sesión y me dirige al panel que corresponde a mi rol: administrador, operario o cliente. El identificador del parqueadero queda fijado desde la sesión y no vuelve a pedirse.</t>
  </si>
  <si>
    <t xml:space="preserve">Dado que ingreso una contraseña incorrecta, cuando intento entrar, entonces el sistema muestra un mensaje genérico de credenciales invalidas sin revelar cual de los dos datos fallo, y bloquea el acceso temporalmente tras 5 intentos fallidos.</t>
  </si>
  <si>
    <t xml:space="preserve">RN-09, RNF-01, RNF-02, RNF-03, RNF-04, ADR-005</t>
  </si>
  <si>
    <t xml:space="preserve">STK-01, STK-02, STK-03</t>
  </si>
  <si>
    <t xml:space="preserve">Cerrar mi sesión</t>
  </si>
  <si>
    <t xml:space="preserve">usuario autenticado</t>
  </si>
  <si>
    <t xml:space="preserve">cerrar mi sesión de forma explicita</t>
  </si>
  <si>
    <t xml:space="preserve">evitar que otra persona use mi cuenta en un equipo compartido</t>
  </si>
  <si>
    <t xml:space="preserve">Dado que tengo una sesión abierta, cuando presiono Cerrar sesión, entonces el sistema invalida la sesión y me devuelve a la pantalla de ingreso.</t>
  </si>
  <si>
    <t xml:space="preserve">Dado que mi sesión ya fue invalidada, cuando intento volver a una pantalla interna con el boton atrás del navegador, entonces el sistema me redirige a la pantalla de ingreso y no muestra ningún dato.</t>
  </si>
  <si>
    <t xml:space="preserve">RNF-02</t>
  </si>
  <si>
    <t xml:space="preserve">HU-05</t>
  </si>
  <si>
    <t xml:space="preserve">Recuperar mi contraseña</t>
  </si>
  <si>
    <t xml:space="preserve">usuario registrado que olvido su contraseña</t>
  </si>
  <si>
    <t xml:space="preserve">restablecerla mediante un enlace enviado a mi correo</t>
  </si>
  <si>
    <t xml:space="preserve">recuperar el acceso sin depender de nadie</t>
  </si>
  <si>
    <t xml:space="preserve">Dado que solicito recuperar mi contraseña con un correo registrado, cuando confirmo, entonces el sistema envía un enlace de un solo uso con vencimiento de 1 hora y permite definir una contraseña nueva.</t>
  </si>
  <si>
    <t xml:space="preserve">Dado que el enlace ya fue usado o ya venció, cuando intento abrirlo, entonces el sistema lo rechaza y me ofrece solicitar uno nuevo.</t>
  </si>
  <si>
    <t xml:space="preserve">Should</t>
  </si>
  <si>
    <t xml:space="preserve">RN-09, RNF-01</t>
  </si>
  <si>
    <t xml:space="preserve">HU-06</t>
  </si>
  <si>
    <t xml:space="preserve">Actualizar mis datos de perfil</t>
  </si>
  <si>
    <t xml:space="preserve">modificar mi teléfono, mi nombre y mi contraseña</t>
  </si>
  <si>
    <t xml:space="preserve">mantener mi información al día sin pedirle ayuda a nadie</t>
  </si>
  <si>
    <t xml:space="preserve">Dado que estoy autenticado, cuando modifico mis datos de perfil y guardo, entonces el sistema los actualiza y me confirma el cambio.</t>
  </si>
  <si>
    <t xml:space="preserve">Dado que intento cambiar mi contraseña, cuando no ingreso correctamente la contraseña actual, entonces el sistema rechaza el cambio y no modifica nada.</t>
  </si>
  <si>
    <t xml:space="preserve">RNF-01, RNF-05</t>
  </si>
  <si>
    <t xml:space="preserve">HU-07</t>
  </si>
  <si>
    <t xml:space="preserve">Registrar las celdas de mi parqueadero</t>
  </si>
  <si>
    <t xml:space="preserve">administrador</t>
  </si>
  <si>
    <t xml:space="preserve">dar de alta las celdas de mi parqueadero con un código y un tipo de vehículo permitido</t>
  </si>
  <si>
    <t xml:space="preserve">tener un inventario real de mi capacidad y no solo un número</t>
  </si>
  <si>
    <t xml:space="preserve">Dado que soy administrador, cuando registro una celda indicando su código (por ejemplo A-01) y el tipo permitido (carro, moto o mixta), entonces el sistema la guarda con estado Libre y la suma a mi capacidad total. El sistema permite también crear celdas en lote indicando un prefijo y una cantidad.</t>
  </si>
  <si>
    <t xml:space="preserve">Dado que intento registrar una celda con un código que ya existe en mi parqueadero, cuando guardo, entonces el sistema rechaza el registro e indica que ese código ya está en uso.</t>
  </si>
  <si>
    <t xml:space="preserve">RN-01, ADR-003</t>
  </si>
  <si>
    <t xml:space="preserve">HU-08</t>
  </si>
  <si>
    <t xml:space="preserve">Administrador / Operario</t>
  </si>
  <si>
    <t xml:space="preserve">Ver la ocupación de mis celdas en tiempo real</t>
  </si>
  <si>
    <t xml:space="preserve">ver un tablero con cuales celdas están ocupadas y cuales libres en este momento</t>
  </si>
  <si>
    <t xml:space="preserve">saber de inmediato si tengo cupo para un vehículo que esta llegando</t>
  </si>
  <si>
    <t xml:space="preserve">Dado que tengo celdas registradas, cuando entro al tablero de ocupación, entonces veo cada celda con su estado actual, la placa que la ocupa cuando aplica, la hora de entrada, y los totales de libres y ocupadas.</t>
  </si>
  <si>
    <t xml:space="preserve">Dado que aún no he registrado ninguna celda, cuando entro al tablero, entonces el sistema me muestra un mensaje guiándome a registrarlas primero, con un enlace directo a esa pantalla.</t>
  </si>
  <si>
    <t xml:space="preserve">RN-01, RNF-06</t>
  </si>
  <si>
    <t xml:space="preserve">HU-09</t>
  </si>
  <si>
    <t xml:space="preserve">Definir y versionar mis tarifas</t>
  </si>
  <si>
    <t xml:space="preserve">establecer el valor por hora, por día y por mensualidad, y cambiarlos cuando lo necesite</t>
  </si>
  <si>
    <t xml:space="preserve">que el sistema cobre siempre con la tarifa correcta sin que yo calcule nada</t>
  </si>
  <si>
    <t xml:space="preserve">Dado que soy administrador, cuando registro una tarifa indicando modalidad, valor y fecha de vigencia, entonces el sistema la guarda como una versión nueva sin borrar la anterior y la aplica a los movimientos que inicien desde esa fecha. Los vehículos que ya están adentro conservan la tarifa vigente al momento de su entrada.</t>
  </si>
  <si>
    <t xml:space="preserve">Dado que intento guardar una tarifa vacía, en cero o negativa, cuando confirmo, entonces el sistema no guarda y señala el campo con el error.</t>
  </si>
  <si>
    <t xml:space="preserve">RN-02, RN-03, ADR-004</t>
  </si>
  <si>
    <t xml:space="preserve">Editar los datos de mi parqueadero</t>
  </si>
  <si>
    <t xml:space="preserve">actualizar el nombre, la dirección y la ubicación de mi parqueadero</t>
  </si>
  <si>
    <t xml:space="preserve">corregir errores del registro inicial o reflejar un cambio real</t>
  </si>
  <si>
    <t xml:space="preserve">Dado que soy administrador, cuando modifico los datos de mi parqueadero y guardo, entonces el sistema los actualiza y quedan reflejados en los documentos que se generen desde ese momento.</t>
  </si>
  <si>
    <t xml:space="preserve">Dado que dejo el nombre o la dirección en blanco, cuando intento guardar, entonces el sistema rechaza el cambio y conserva los datos anteriores.</t>
  </si>
  <si>
    <t xml:space="preserve">RNF-08</t>
  </si>
  <si>
    <t xml:space="preserve">HU-11</t>
  </si>
  <si>
    <t xml:space="preserve">Consultar el histórico de mis tarifas</t>
  </si>
  <si>
    <t xml:space="preserve">ver todas las versiones de tarifa que he tenido con sus fechas de vigencia</t>
  </si>
  <si>
    <t xml:space="preserve">poder explicarle a un cliente por qué se le cobro un valor determinado</t>
  </si>
  <si>
    <t xml:space="preserve">Dado que he cambiado mis tarifas al menos una vez, cuando consulto el histórico, entonces veo cada versión con su modalidad, valor, fecha de vigencia y fecha de reemplazo.</t>
  </si>
  <si>
    <t xml:space="preserve">Dado que nunca he modificado mis tarifas, cuando consulto el histórico, entonces el sistema muestra únicamente la versión inicial e indica que no hay cambios posteriores.</t>
  </si>
  <si>
    <t xml:space="preserve">Could</t>
  </si>
  <si>
    <t xml:space="preserve">RN-02, RNF-07</t>
  </si>
  <si>
    <t xml:space="preserve">HU-12a</t>
  </si>
  <si>
    <t xml:space="preserve">Registrar un cliente y su vehículo</t>
  </si>
  <si>
    <t xml:space="preserve">dar de alta a un cliente con sus datos personales, la placa de su vehículo y su modalidad</t>
  </si>
  <si>
    <t xml:space="preserve">tener en el sistema quién usa mi parqueadero y en que condiciones</t>
  </si>
  <si>
    <t xml:space="preserve">Dado que soy administrador, cuando registro un cliente con sus datos de contacto, la placa de su vehículo y la modalidad (mensual o por horas), entonces el sistema normaliza la placa, crea la afiliación en estado Pendiente de vinculación y la asocia a mi parqueadero. La modalidad por horas identifica a un cliente afiliado que paga por tiempo; no debe confundirse con el cliente ocasional, que no tiene cuenta ni afiliación.</t>
  </si>
  <si>
    <t xml:space="preserve">Dado que la placa que ingreso ya está activa y vinculada a otro cliente en mi parqueadero, cuando intento guardar, entonces el sistema rechaza el registro e indica a que afiliación pertenece esa placa, sin revelar datos personales del otro cliente.</t>
  </si>
  <si>
    <t xml:space="preserve">RN-04, RN-06, RNF-03, ADR-002</t>
  </si>
  <si>
    <t xml:space="preserve">HU-12b</t>
  </si>
  <si>
    <t xml:space="preserve">Generar el código de vinculación de un cliente</t>
  </si>
  <si>
    <t xml:space="preserve">obtener un código de un solo uso para entregarselo al cliente que acabo de registrar</t>
  </si>
  <si>
    <t xml:space="preserve">que el cliente active su cuenta y consulte su información sin que yo tenga que entregarle nada más</t>
  </si>
  <si>
    <t xml:space="preserve">Dado que un cliente tiene afiliación en estado Pendiente de vinculación, cuando solicito su código, entonces el sistema genera un código alfanumérico de 6 caracteres, de un solo uso y con vencimiento a 7 días, lo muestra una sola vez en pantalla y registra su emisión en la bitácora.</t>
  </si>
  <si>
    <t xml:space="preserve">Dado que la afiliación ya fue vinculada por el cliente, cuando intento generar un código nuevo, entonces el sistema no lo permite e indica que la vinculación ya está activa.</t>
  </si>
  <si>
    <t xml:space="preserve">RN-05, RN-06, RNF-07, ADR-002</t>
  </si>
  <si>
    <t xml:space="preserve">HU-13</t>
  </si>
  <si>
    <t xml:space="preserve">Vincular mi cuenta a mi vehículo con placa y código</t>
  </si>
  <si>
    <t xml:space="preserve">cliente registrado</t>
  </si>
  <si>
    <t xml:space="preserve">asociar mi cuenta a mi vehículo ingresando la placa y el código que me dio el administrador</t>
  </si>
  <si>
    <t xml:space="preserve">acceder a mi historial y al estado de mi mensualidad</t>
  </si>
  <si>
    <t xml:space="preserve">Dado que tengo cuenta y el administrador me entregó un código vigente, cuando ingreso la placa y el código y ambos coinciden, entonces el sistema activa mi afiliación a ese parqueadero, invalida el código y me da acceso al portal del cliente.</t>
  </si>
  <si>
    <t xml:space="preserve">Dado que ingreso una placa real que no me pertenece sin el código correcto, cuando intento vincularme, entonces el sistema rechaza el intento, no revela ninguna información del vehículo, registra el intento en la bitácora y bloquea el código tras 3 intentos fallidos.</t>
  </si>
  <si>
    <t xml:space="preserve">HU-02, HU-12b</t>
  </si>
  <si>
    <t xml:space="preserve">RN-04, RN-05, RN-06, RN-08, RNF-03, ADR-002</t>
  </si>
  <si>
    <t xml:space="preserve">HU-14</t>
  </si>
  <si>
    <t xml:space="preserve">Ver y filtrar la lista de mis clientes afiliados</t>
  </si>
  <si>
    <t xml:space="preserve">consultar el listado de las personas afiliadas a mi parqueadero con su estado y sus vehículos</t>
  </si>
  <si>
    <t xml:space="preserve">tener en un solo lugar quién usa mi parqueadero y en que condiciones</t>
  </si>
  <si>
    <t xml:space="preserve">Dado que tengo clientes afiliados, cuando entro a Mis Clientes, entonces veo el listado con nombre, contacto, vehículos asociados, modalidad, estado de vinculación y estado de cartera, y puedo buscar por nombre o por placa.</t>
  </si>
  <si>
    <t xml:space="preserve">Dado que aún no tengo ningún cliente afiliado, cuando entro a la pantalla, entonces el sistema muestra un estado vacío con la acción para registrar el primero.</t>
  </si>
  <si>
    <t xml:space="preserve">RNF-02, RNF-06</t>
  </si>
  <si>
    <t xml:space="preserve">HU-15</t>
  </si>
  <si>
    <t xml:space="preserve">Asociar un segundo vehículo a un cliente ya afiliado</t>
  </si>
  <si>
    <t xml:space="preserve">agregar otro vehículo a un cliente que ya esta afiliado a mi parqueadero</t>
  </si>
  <si>
    <t xml:space="preserve">no duplicar a la misma persona cuando tiene dos carros</t>
  </si>
  <si>
    <t xml:space="preserve">Dado que un cliente ya tiene afiliación activa, cuando le agrego un vehículo nuevo con su placa, entonces el sistema lo asocia a la misma afiliación y ambos vehículos aparecen bajo el mismo cliente.</t>
  </si>
  <si>
    <t xml:space="preserve">Dado que la placa nueva ya está vinculada a otro cliente en mi parqueadero, cuando intento asociarla, entonces el sistema lo impide e indica el conflicto.</t>
  </si>
  <si>
    <t xml:space="preserve">RN-04, RN-06</t>
  </si>
  <si>
    <t xml:space="preserve">HU-16</t>
  </si>
  <si>
    <t xml:space="preserve">Cerrar la vinculación de un vehículo por cambio de dueño</t>
  </si>
  <si>
    <t xml:space="preserve">cerrar el vínculo entre un cliente y su vehículo cuando lo vende, sin borrar nada</t>
  </si>
  <si>
    <t xml:space="preserve">que el dueño anterior conserve su historial y el nuevo no vea lo que no le corresponde</t>
  </si>
  <si>
    <t xml:space="preserve">Dado que un cliente vendió su vehículo, cuando cierro la vinculación indicando la fecha, entonces el sistema le pone fecha de fin al vínculo, los movimientos anteriores siguen perteneciendo al dueño anterior, y la placa queda libre para vincularse a un cliente nuevo.</t>
  </si>
  <si>
    <t xml:space="preserve">Dado que el vehículo esta actualmente dentro del parqueadero, cuando intento cerrar la vinculación, entonces el sistema lo impide e indica que primero debe registrarse la salida.</t>
  </si>
  <si>
    <t xml:space="preserve">RN-07, RNF-07, ADR-002</t>
  </si>
  <si>
    <t xml:space="preserve">HU-17</t>
  </si>
  <si>
    <t xml:space="preserve">Reenviar o regenerar un código de vinculación</t>
  </si>
  <si>
    <t xml:space="preserve">generar un código nuevo cuando el anterior venció o el cliente lo perdió</t>
  </si>
  <si>
    <t xml:space="preserve">que el cliente pueda completar su vinculación sin volver a registrarlo, ya que el código se muestra una sola vez, se bloquea tras 3 intentos fallidos y vence a los 7 días</t>
  </si>
  <si>
    <t xml:space="preserve">Dado que una afiliación sigue Pendiente de vinculación, cuando solicito un código nuevo, entonces el sistema invalida el anterior, genera uno nuevo con vencimiento renovado y deja constancia en la bitácora.</t>
  </si>
  <si>
    <t xml:space="preserve">Dado que la afiliación ya fue vinculada, cuando intento generar un código, entonces el sistema no lo permite e indica que la cuenta ya está activa.</t>
  </si>
  <si>
    <t xml:space="preserve">RN-05, RNF-07</t>
  </si>
  <si>
    <t xml:space="preserve">HU-18</t>
  </si>
  <si>
    <t xml:space="preserve">Desactivar un cliente</t>
  </si>
  <si>
    <t xml:space="preserve">desactivar la afiliación de un cliente que ya no usa mi parqueadero</t>
  </si>
  <si>
    <t xml:space="preserve">que deje de aparecer en la operación sin perder su histórico</t>
  </si>
  <si>
    <t xml:space="preserve">Dado que un cliente ya no usa mi parqueadero, cuando desactivo su afiliación, entonces deja de aparecer en los listados operativos, sus vehículos quedan desvinculados y su historial se conserva consultable.</t>
  </si>
  <si>
    <t xml:space="preserve">Dado que el cliente tiene un vehículo actualmente adentro, cuando intento desactivarlo, entonces el sistema lo impide e indica que primero debe registrarse la salida.</t>
  </si>
  <si>
    <t xml:space="preserve">RN-07, RNF-07</t>
  </si>
  <si>
    <t xml:space="preserve">HU-19</t>
  </si>
  <si>
    <t xml:space="preserve">Registrar la entrada de un vehículo afiliado</t>
  </si>
  <si>
    <t xml:space="preserve">administrador u operario del parqueadero</t>
  </si>
  <si>
    <t xml:space="preserve">registrar el ingreso de un vehículo de un cliente asignandole una celda</t>
  </si>
  <si>
    <t xml:space="preserve">saber en todo momento quién está adentro y en donde</t>
  </si>
  <si>
    <t xml:space="preserve">Dado que un vehículo afiliado llega, cuando registro su entrada con la placa y selecciono una celda libre compatible con su tipo, entonces el sistema crea el movimiento con la hora de entrada, congela la tarifa vigente en ese instante y marca la celda como Ocupada.</t>
  </si>
  <si>
    <t xml:space="preserve">Dado que la placa ya figura como presente dentro del parqueadero, cuando intento registrar su entrada, entonces el sistema lo impide e indica en que celda se encuentra y desde que hora.</t>
  </si>
  <si>
    <t xml:space="preserve">HU-07, HU-09, HU-12a</t>
  </si>
  <si>
    <t xml:space="preserve">RN-01, RN-03, RN-04, RN-10, RNF-03</t>
  </si>
  <si>
    <t xml:space="preserve">STK-01, STK-02</t>
  </si>
  <si>
    <t xml:space="preserve">HU-20</t>
  </si>
  <si>
    <t xml:space="preserve">Registrar la entrada de un visitante ocasional</t>
  </si>
  <si>
    <t xml:space="preserve">registrar el ingreso de un vehículo que no tiene cuenta ni afiliación</t>
  </si>
  <si>
    <t xml:space="preserve">atender al público de paso, que es la mayoria de mis movimientos</t>
  </si>
  <si>
    <t xml:space="preserve">Dado que llega un vehículo sin afiliación, cuando registro su entrada solo con placa, tipo y celda libre compatible, entonces el sistema abre el movimiento, congela la versión de tarifa vigente, marca la celda como ocupada y genera un código de tiquete de un solo uso que le entrego al conductor para que consulte su estado.</t>
  </si>
  <si>
    <t xml:space="preserve">Dado que no hay ninguna celda libre compatible con ese tipo de vehículo, cuando intento registrar la entrada, entonces el sistema lo impide e informa que el parqueadero esta lleno para ese tipo.</t>
  </si>
  <si>
    <t xml:space="preserve">HU-07, HU-09</t>
  </si>
  <si>
    <t xml:space="preserve">RN-01, RN-03, RN-04, RN-08, RN-10, RN-15, RNF-05</t>
  </si>
  <si>
    <t xml:space="preserve">Registrar la salida y calcular el cobro automáticamente</t>
  </si>
  <si>
    <t xml:space="preserve">registrar la salida de un vehículo y que el sistema me diga cuanto debe pagar</t>
  </si>
  <si>
    <t xml:space="preserve">cobrar el valor correcto sin hacer cuentas a mano ni discutir con el cliente</t>
  </si>
  <si>
    <t xml:space="preserve">Dado que un vehículo está adentro, cuando registro su salida, entonces el sistema cierra el movimiento, libera la celda e invalida el código de tiquete. Si el vehículo pertenece a una afiliación mensual vigente, el valor a pagar es cero y así se indica en pantalla. En cualquier otro caso el sistema calcula el tiempo transcurrido, aplica RN-14 sobre la versión de tarifa congelada en la entrada y muestra el detalle del cálculo por bloques junto con el valor total a pagar.</t>
  </si>
  <si>
    <t xml:space="preserve">Dado que el vehículo pertenece a un cliente mensual EN MORA, cuando registro la salida, entonces el sistema advierte la mora, cobra la estadía como ocasional según RN-14 y deja el saldo de la mensualidad como pendiente, sin bloquear la salida del vehículo.</t>
  </si>
  <si>
    <t xml:space="preserve">RN-02, RN-03, RN-10, RN-11, RN-12, RN-14, RN-15, ADR-004, ADR-006</t>
  </si>
  <si>
    <t xml:space="preserve">Anular o corregir un movimiento mal registrado</t>
  </si>
  <si>
    <t xml:space="preserve">corregir una entrada o salida que registre por error</t>
  </si>
  <si>
    <t xml:space="preserve">que mis cifras de ingresos y ocupación reflejen la realidad</t>
  </si>
  <si>
    <t xml:space="preserve">Dado que registre un movimiento con un dato equivocado, cuando lo anulo o lo corrijo indicando el motivo, entonces el sistema conserva el registro original marcado como anulado, crea el registro corregido, deja ambos en la bitácora con mi usuario y la fecha, y recalcula los totales afectados.</t>
  </si>
  <si>
    <t xml:space="preserve">Dado que no indico un motivo, cuando intento anular, entonces el sistema no ejecuta la anulación y exige el motivo como campo obligatorio.</t>
  </si>
  <si>
    <t xml:space="preserve">RN-13, RNF-07</t>
  </si>
  <si>
    <t xml:space="preserve">HU-23</t>
  </si>
  <si>
    <t xml:space="preserve">Consultar que vehículos están adentro en este momento</t>
  </si>
  <si>
    <t xml:space="preserve">ver la lista de vehículos actualmente dentro del parqueadero con su hora de entrada</t>
  </si>
  <si>
    <t xml:space="preserve">hacer un control rápido y detectar inconsistencias con lo que veo físicamente</t>
  </si>
  <si>
    <t xml:space="preserve">Dado que hay vehículos adentro, cuando consulto la lista, entonces veo placa, celda, hora de entrada, tiempo transcurrido y, para los vehículos sin afiliación mensual vigente, el valor acumulado estimado según RN-14. Los vehículos de clientes mensuales vigentes se muestran sin valor, marcados como cubiertos por su mensualidad.</t>
  </si>
  <si>
    <t xml:space="preserve">Dado que el parqueadero esta vacío, cuando consulto la lista, entonces el sistema indica que no hay vehículos adentro.</t>
  </si>
  <si>
    <t xml:space="preserve">RN-01, RN-10, RN-14, RNF-06</t>
  </si>
  <si>
    <t xml:space="preserve">HU-24</t>
  </si>
  <si>
    <t xml:space="preserve">Registrar el pago de una mensualidad</t>
  </si>
  <si>
    <t xml:space="preserve">registrar el pago que hace un cliente indicando monto, fecha y medio de pago</t>
  </si>
  <si>
    <t xml:space="preserve">mantener actualizado su estado de cuenta</t>
  </si>
  <si>
    <t xml:space="preserve">Dado que un cliente paga, cuando registro el pago con monto, fecha y medio (efectivo, transferencia u otro), entonces el sistema lo guarda en su historial, extiende su período de mensualidad y actualiza su estado a Al día.</t>
  </si>
  <si>
    <t xml:space="preserve">Dado que el monto que ingreso es menor al valor de la mensualidad vigente, cuando registro el pago, entonces el sistema lo guarda marcado como PARCIAL, no extiende el período de la mensualidad, deja el saldo pendiente a la vista y conserva el estado de cartera que el cliente tenía antes del abono.</t>
  </si>
  <si>
    <t xml:space="preserve">HU-09, HU-12a</t>
  </si>
  <si>
    <t xml:space="preserve">RN-11, RN-12, RN-13, ADR-004</t>
  </si>
  <si>
    <t xml:space="preserve">HU-25</t>
  </si>
  <si>
    <t xml:space="preserve">Ver el estado de cartera de mis clientes</t>
  </si>
  <si>
    <t xml:space="preserve">ver a mis clientes clasificados en Al día, Por vencer y En mora</t>
  </si>
  <si>
    <t xml:space="preserve">saber a quien tengo que cobrarle hoy</t>
  </si>
  <si>
    <t xml:space="preserve">Dado que tengo clientes mensuales, cuando entro a la vista de cartera, entonces veo cada cliente con su estado calculado a la fecha, los días de mora cuando aplica y el saldo pendiente, y puedo filtrar por estado.</t>
  </si>
  <si>
    <t xml:space="preserve">Dado que un cliente mensual nunca ha registrado un pago, cuando reviso su estado, entonces el sistema lo muestra como Pendiente de primer pago y no como Al día.</t>
  </si>
  <si>
    <t xml:space="preserve">RN-11, RN-12, ADR-004</t>
  </si>
  <si>
    <t xml:space="preserve">HU-26</t>
  </si>
  <si>
    <t xml:space="preserve">Consultar el historial de pagos de un cliente</t>
  </si>
  <si>
    <t xml:space="preserve">ver todos los pagos que ha hecho un cliente</t>
  </si>
  <si>
    <t xml:space="preserve">resolver cualquier reclamo con evidencia</t>
  </si>
  <si>
    <t xml:space="preserve">Dado que un cliente tiene pagos registrados, cuando abro su historial, entonces veo cada pago con fecha, monto, medio de pago, período cubierto y quién lo registro.</t>
  </si>
  <si>
    <t xml:space="preserve">Dado que el cliente no tiene pagos registrados, cuando abro su historial, entonces el sistema indica que no hay pagos y muestra la fecha de inicio de su afiliación.</t>
  </si>
  <si>
    <t xml:space="preserve">HU-27</t>
  </si>
  <si>
    <t xml:space="preserve">Generar carta de cobro en PDF</t>
  </si>
  <si>
    <t xml:space="preserve">generar un documento formal de cobro para un cliente en mora</t>
  </si>
  <si>
    <t xml:space="preserve">solicitarle el pago de forma profesional y dejar constancia</t>
  </si>
  <si>
    <t xml:space="preserve">Dado que un cliente está en mora, cuando genero la carta de cobro, entonces el sistema produce un PDF con los datos del parqueadero, los del cliente, el período adeudado, el monto y la fecha de emisión, y deja constancia de la generación.</t>
  </si>
  <si>
    <t xml:space="preserve">Dado que el cliente está al día, cuando intento generar la carta, entonces el sistema no la genera e indica que no aplica.</t>
  </si>
  <si>
    <t xml:space="preserve">RN-12, RNF-05, RNF-07</t>
  </si>
  <si>
    <t xml:space="preserve">HU-28</t>
  </si>
  <si>
    <t xml:space="preserve">Ver el historial de entradas y salidas de mi vehículo</t>
  </si>
  <si>
    <t xml:space="preserve">cliente vinculado</t>
  </si>
  <si>
    <t xml:space="preserve">consultar los movimientos de mi vehículo con fecha, hora y duración</t>
  </si>
  <si>
    <t xml:space="preserve">tener claridad de como he usado el parqueadero y verificar los cobros</t>
  </si>
  <si>
    <t xml:space="preserve">Dado que tengo vinculación activa y movimientos registrados, cuando entro a mi historial, entonces veo cada movimiento con fecha, hora de entrada, hora de salida, duración y valor cobrado, ordenados del más reciente al más antiguo.</t>
  </si>
  <si>
    <t xml:space="preserve">Dado que soy un cliente recien vinculado sin movimientos, cuando entro a mi historial, entonces el sistema indica que aún no tengo movimientos registrados.</t>
  </si>
  <si>
    <t xml:space="preserve">HU-13, HU-21</t>
  </si>
  <si>
    <t xml:space="preserve">RN-07, RNF-02, RNF-03</t>
  </si>
  <si>
    <t xml:space="preserve">HU-29</t>
  </si>
  <si>
    <t xml:space="preserve">Ver el estado de mi mensualidad</t>
  </si>
  <si>
    <t xml:space="preserve">cliente mensual</t>
  </si>
  <si>
    <t xml:space="preserve">consultar si estoy al día, cuando vence mi mensualidad y cuánto debo si estoy en mora</t>
  </si>
  <si>
    <t xml:space="preserve">pagar a tiempo sin tener que preguntarle al administrador</t>
  </si>
  <si>
    <t xml:space="preserve">Dado que soy cliente mensual, cuando entro a mi cuenta, entonces veo mi estado actual, la fecha de vencimiento de mi período vigente y el saldo pendiente si lo hay.</t>
  </si>
  <si>
    <t xml:space="preserve">Dado que mi afiliación es de modalidad por horas y no mensual, cuando entro a esa sección, entonces el sistema indica que no tengo mensualidad asociada y me remite a mi historial de movimientos.</t>
  </si>
  <si>
    <t xml:space="preserve">HU-13, HU-24</t>
  </si>
  <si>
    <t xml:space="preserve">HU-30</t>
  </si>
  <si>
    <t xml:space="preserve">Consultar mis pagos registrados</t>
  </si>
  <si>
    <t xml:space="preserve">ver la lista de los pagos que el administrador ha registrado a mi nombre</t>
  </si>
  <si>
    <t xml:space="preserve">verificar que lo que pague quedo efectivamente registrado</t>
  </si>
  <si>
    <t xml:space="preserve">Dado que tengo pagos registrados, cuando entro a la sección de pagos, entonces veo fecha, monto, medio de pago y período cubierto de cada uno.</t>
  </si>
  <si>
    <t xml:space="preserve">Dado que un pago mío quedo registrado como parcial, cuando lo consulto, entonces el sistema lo identifica claramente como parcial y muestra el saldo que falta.</t>
  </si>
  <si>
    <t xml:space="preserve">HU-24, HU-29</t>
  </si>
  <si>
    <t xml:space="preserve">RN-13, RNF-03</t>
  </si>
  <si>
    <t xml:space="preserve">HU-32</t>
  </si>
  <si>
    <t xml:space="preserve">Generar el reporte de ingresos por rango de fechas</t>
  </si>
  <si>
    <t xml:space="preserve">obtener el total recaudado en un período, discriminado por modalidad y medio de pago</t>
  </si>
  <si>
    <t xml:space="preserve">entender cuánto genera mi negocio y en que</t>
  </si>
  <si>
    <t xml:space="preserve">Dado que tengo movimientos y pagos registrados, cuando selecciono un rango de fechas y genero el reporte, entonces el sistema muestra el total recaudado, el desglose por modalidad y por medio de pago, excluye los movimientos anulados y permite exportarlo.</t>
  </si>
  <si>
    <t xml:space="preserve">Dado que el rango seleccionado no tiene ningún registro, cuando genero el reporte, entonces el sistema indica que no hay datos para ese período y no produce un archivo vacío.</t>
  </si>
  <si>
    <t xml:space="preserve">HU-21, HU-24</t>
  </si>
  <si>
    <t xml:space="preserve">RN-13, RNF-06, RNF-07</t>
  </si>
  <si>
    <t xml:space="preserve">HU-33</t>
  </si>
  <si>
    <t xml:space="preserve">Generar el reporte de ocupación</t>
  </si>
  <si>
    <t xml:space="preserve">ver el porcentaje de ocupación de mi parqueadero por día y por franja horaria</t>
  </si>
  <si>
    <t xml:space="preserve">identificar mis horas pico y decidir si me conviene subir tarifas o ampliar</t>
  </si>
  <si>
    <t xml:space="preserve">Dado que tengo movimientos registrados, cuando genero el reporte de ocupación sobre un rango, entonces el sistema muestra la ocupación promedio, la máxima y su distribución por franja horaria.</t>
  </si>
  <si>
    <t xml:space="preserve">Dado que el inventario de celdas cambió dentro del rango consultado, cuando genero el reporte, entonces el sistema calcula la ocupación sobre la capacidad actual y muestra una advertencia visible indicando que la capacidad no era la misma durante todo el período, para que el dato no se lea como exacto.</t>
  </si>
  <si>
    <t xml:space="preserve">HU-08, HU-19, HU-20</t>
  </si>
  <si>
    <t xml:space="preserve">HU-34</t>
  </si>
  <si>
    <t xml:space="preserve">Generar el reporte de vehículos y movimientos</t>
  </si>
  <si>
    <t xml:space="preserve">obtener el detalle de todos los movimientos de un período con filtros por placa y por cliente</t>
  </si>
  <si>
    <t xml:space="preserve">poder auditar cualquier caso puntual que me reclamen</t>
  </si>
  <si>
    <t xml:space="preserve">Dado que tengo movimientos en el período, cuando genero el reporte con los filtros que elija, entonces el sistema entrega el detalle de cada movimiento incluyendo los anulados, marcados como tales.</t>
  </si>
  <si>
    <t xml:space="preserve">Dado que filtro por una placa que no tuvo movimientos en el período, cuando genero el reporte, entonces el sistema informa que esa placa no registra movimientos en el rango seleccionado.</t>
  </si>
  <si>
    <t xml:space="preserve">HU-21, HU-22</t>
  </si>
  <si>
    <t xml:space="preserve">Aceptar la política de tratamiento de datos al registrarme</t>
  </si>
  <si>
    <t xml:space="preserve">persona nueva</t>
  </si>
  <si>
    <t xml:space="preserve">conocer y aceptar de forma explicita como se van a tratar mis datos personales</t>
  </si>
  <si>
    <t xml:space="preserve">saber que información mía se guarda y para que, antes de entregarla</t>
  </si>
  <si>
    <t xml:space="preserve">Dado que estoy creando mi cuenta, cuando llego al final del formulario, entonces el sistema me muestra la política de tratamiento de datos, exige una aceptación explicita no premarcada, y guarda la constancia con fecha, hora y versión de la política aceptada.</t>
  </si>
  <si>
    <t xml:space="preserve">Dado que no marco la aceptación, cuando intento crear la cuenta, entonces el sistema no la crea e indica que la aceptación es obligatoria.</t>
  </si>
  <si>
    <t xml:space="preserve">RN-08, RNF-05</t>
  </si>
  <si>
    <t xml:space="preserve">Consultar la bitácora de auditoría de mi parqueadero</t>
  </si>
  <si>
    <t xml:space="preserve">revisar el registro de las operaciones sensibles hechas en mi parqueadero</t>
  </si>
  <si>
    <t xml:space="preserve">poder rastrear cualquier inconsistencia de dinero o de acceso</t>
  </si>
  <si>
    <t xml:space="preserve">Dado que se han ejecutado operaciones sensibles (cambios de tarifa, anulaciones, pagos, vinculaciones e intentos fallidos), cuando consulto la bitácora, entonces veo cada evento con fecha, hora, usuario, tipo de operación y dato afectado, filtrable por rango y por tipo.</t>
  </si>
  <si>
    <t xml:space="preserve">Dado que la bitácora contiene operaciones sensibles, cuando cualquier rol intenta modificar o eliminar un registro, entonces el sistema lo impide: la bitácora es solo anexable y ninguna operación la altera.</t>
  </si>
  <si>
    <t xml:space="preserve">HU-22, HU-24</t>
  </si>
  <si>
    <t xml:space="preserve">RNF-07, RNF-02</t>
  </si>
  <si>
    <t xml:space="preserve">Solicitar la eliminación de mis datos personales</t>
  </si>
  <si>
    <t xml:space="preserve">cliente</t>
  </si>
  <si>
    <t xml:space="preserve">pedir que se eliminen mis datos personales del sistema</t>
  </si>
  <si>
    <t xml:space="preserve">ejercer el derecho que me da la ley sobre mi propia información</t>
  </si>
  <si>
    <t xml:space="preserve">Dado que soy titular de mis datos y no tengo obligaciones vigentes con el parqueadero, cuando radicó la solicitud desde mi cuenta, entonces el sistema anonimiza mis datos identificables (nombre, documento, correo, teléfono y placa), conserva los registros de dinero sin titular identificable, deja constancia en la bitácora y me confirma la ejecución.</t>
  </si>
  <si>
    <t xml:space="preserve">Dado que tengo una mensualidad vigente, saldo pendiente o un vehículo adentro, cuando radicó la solicitud, entonces el sistema la deja en estado En espera, inhabilita mi afiliación de la operación diaria, me informa el deber contractual que lo impide y la fecha estimada en que procederá la anonimización.</t>
  </si>
  <si>
    <t xml:space="preserve">HU-13, HU-35</t>
  </si>
  <si>
    <t xml:space="preserve">RN-08, RN-13, RNF-05, RNF-07, ADR-007</t>
  </si>
  <si>
    <t xml:space="preserve">HU-38</t>
  </si>
  <si>
    <t xml:space="preserve">Registrar un operario para mi parqueadero</t>
  </si>
  <si>
    <t xml:space="preserve">crear una cuenta de operario para la persona que atiende la caseta en cada turno</t>
  </si>
  <si>
    <t xml:space="preserve">que el registro de entradas y salidas no dependa de que yo este presente ni de mi propia contraseña</t>
  </si>
  <si>
    <t xml:space="preserve">Dado que soy administrador, cuando registro un operario con su nombre, contacto y credenciales iniciales y declaro contar con su autorización para el tratamiento de sus datos, entonces el sistema crea la cuenta con rol operario asociada únicamente a mi parqueadero, lo obliga a aceptar la política de tratamiento y a cambiar la contraseña en su primer ingreso, y registra la creación en la bitácora. Puedo desactivarlo en cualquier momento sin perder los movimientos que el haya registrado.</t>
  </si>
  <si>
    <t xml:space="preserve">Dado que intento crear un operario con un correo que ya existe en el sistema, cuando guardo, entonces el sistema no crea la cuenta e indica el conflicto sin revelar a que parqueadero pertenece ese correo.</t>
  </si>
  <si>
    <t xml:space="preserve">RN-08, RN-09, RNF-01, RNF-02, RNF-03, RNF-07, ADR-005</t>
  </si>
  <si>
    <t xml:space="preserve">HU-39</t>
  </si>
  <si>
    <t xml:space="preserve">Ingresar a mi panel de operación con acceso restringido</t>
  </si>
  <si>
    <t xml:space="preserve">operario de turno</t>
  </si>
  <si>
    <t xml:space="preserve">entrar a una vista que solo tenga lo que necesito para trabajar</t>
  </si>
  <si>
    <t xml:space="preserve">registrar entradas y salidas rápido sin ver información del negocio que no me corresponde</t>
  </si>
  <si>
    <t xml:space="preserve">Dado que ingreso con mi cuenta de operario, cuando el sistema abre mi sesión, entonces veo únicamente el tablero de ocupación, el registro de entrada, el registro de salida y la lista de vehículos adentro, todos limitados al parqueadero al que pertenezco.</t>
  </si>
  <si>
    <t xml:space="preserve">Dado que intento acceder a tarifas, cartera, reportes, la lista de clientes o la bitácora alterando la dirección en el navegador, cuando envío la petición, entonces el servidor responde acceso denegado y registra el intento fallido en la bitácora.</t>
  </si>
  <si>
    <t xml:space="preserve">RNF-02, RNF-03, RNF-07, RNF-08, ADR-005</t>
  </si>
  <si>
    <t xml:space="preserve">Consultar mi tiquete con el código de entrada</t>
  </si>
  <si>
    <t xml:space="preserve">cliente ocasional sin cuenta en la plataforma</t>
  </si>
  <si>
    <t xml:space="preserve">consultar el estado de mi tiquete ingresando el código que me dieron a la entrada</t>
  </si>
  <si>
    <t xml:space="preserve">saber cuánto tiempo llevo y cuanto voy a pagar antes de llegar a la caseta</t>
  </si>
  <si>
    <t xml:space="preserve">Dado que tengo un código de tiquete valido y mi movimiento sigue abierto, cuando lo ingreso en la consulta pública, entonces el sistema muestra la hora de entrada, el tiempo transcurrido y el valor estimado a la fecha, sin exigir credenciales y sin mostrar ningún dato personal ni la placa completa.</t>
  </si>
  <si>
    <t xml:space="preserve">Dado que ingreso un código inexistente, vencido o de un movimiento ya cerrado, cuando consulto, entonces el sistema responde con un mensaje genérico idéntico en los tres casos y limita los intentos por sesión, de modo que no se pueda deducir si el código existió ni adivinar códigos por fuerza bruta.</t>
  </si>
  <si>
    <t xml:space="preserve">RN-06, RN-15, RNF-04, RNF-05</t>
  </si>
  <si>
    <t xml:space="preserve">HU-41</t>
  </si>
  <si>
    <t xml:space="preserve">Emitir el código QR de un vehículo afiliado</t>
  </si>
  <si>
    <t xml:space="preserve">administrador del parqueadero</t>
  </si>
  <si>
    <t xml:space="preserve">emitir un código QR para cada vehículo que afilio y entregarselo a su dueño</t>
  </si>
  <si>
    <t xml:space="preserve">que el vehículo pueda identificarse en la entrada y en la salida sin dictar la placa</t>
  </si>
  <si>
    <t xml:space="preserve">Dado que registre un vehículo a un cliente afiliado, cuando confirmo la afiliación, entonces el sistema genera un código QR único para ese vehículo, lo muestra en pantalla para imprimirlo o descargarlo y deja la emisión en la bitácora.</t>
  </si>
  <si>
    <t xml:space="preserve">Dado que el vehículo ya tiene un código QR activo, cuando intento emitir otro sin revocar el anterior, entonces el sistema no lo permite y me indica que debo revocar el código vigente primero.</t>
  </si>
  <si>
    <t xml:space="preserve">RN-16, RN-17, RNF-07, RNF-11, ADR-009, RF-21</t>
  </si>
  <si>
    <t xml:space="preserve">STK-01, STK-03</t>
  </si>
  <si>
    <t xml:space="preserve">HU-42</t>
  </si>
  <si>
    <t xml:space="preserve">Revocar y reemitir el código QR de un vehículo</t>
  </si>
  <si>
    <t xml:space="preserve">revocar el código QR de un vehículo y emitir uno nuevo</t>
  </si>
  <si>
    <t xml:space="preserve">que un código perdido o deteriorado deje de servir y el cliente pueda seguir usando el parqueadero</t>
  </si>
  <si>
    <t xml:space="preserve">Dado que un vehículo afiliado tiene un código QR activo, cuando lo revoco indicando el motivo, entonces el código queda invalido de inmediato, el sistema me ofrece emitir uno nuevo y la revocación queda en la bitácora con usuario, fecha y motivo.</t>
  </si>
  <si>
    <t xml:space="preserve">Dado que revoque el código de un vehículo, cuando ese código se presenta al lector, entonces el sistema informa que el código fue revocado, no registra el movimiento y ofrece continuar con el registro manual.</t>
  </si>
  <si>
    <t xml:space="preserve">RN-16, RN-17, RN-07, RNF-07, ADR-009, RF-21</t>
  </si>
  <si>
    <t xml:space="preserve">HU-43</t>
  </si>
  <si>
    <t xml:space="preserve">Registrar la entrada leyendo el código QR</t>
  </si>
  <si>
    <t xml:space="preserve">registrar la entrada de un vehículo presentando su código QR al lector</t>
  </si>
  <si>
    <t xml:space="preserve">atender más rápido en la hora pico y no equivocarme digitando la placa</t>
  </si>
  <si>
    <t xml:space="preserve">Dado que un vehículo afiliado presenta su código QR al lector, cuando el dispositivo envía la lectura, entonces el sistema resuelve el vehículo, me muestra la placa y las celdas libres compatibles para que confirme, y solo al confirmar queda registrada la entrada con la tarifa vigente congelada. / Dado que el dispositivo lector envía una lectura, cuando el sistema le responde, entonces la respuesta es únicamente un acuse de recibo y no contiene la placa, la afiliación ni ningún otro dato del vehículo, de modo que un lector comprometido no exponga información (RNF-05, RNF-11).</t>
  </si>
  <si>
    <t xml:space="preserve">Dado que el código leido no corresponde a ningún vehículo activo del parqueadero, cuando el sistema no lo resuelve, entonces me informa el motivo sin revelar si el código existe y me ofrece registrar la entrada de forma manual.</t>
  </si>
  <si>
    <t xml:space="preserve">HU-19, HU-41</t>
  </si>
  <si>
    <t xml:space="preserve">RN-01, RN-03, RN-04, RN-10, RN-16, RNF-05, RNF-08, RNF-11, ADR-009, RF-22</t>
  </si>
  <si>
    <t xml:space="preserve">STK-02, STK-01</t>
  </si>
  <si>
    <t xml:space="preserve">HU-44</t>
  </si>
  <si>
    <t xml:space="preserve">Registrar la salida leyendo el código QR</t>
  </si>
  <si>
    <t xml:space="preserve">registrar la salida de un vehículo presentando su código QR al lector</t>
  </si>
  <si>
    <t xml:space="preserve">cerrar el movimiento y cobrar sin buscar la placa en una lista</t>
  </si>
  <si>
    <t xml:space="preserve">Dado que un vehículo con movimiento abierto presenta su código QR al lector, cuando el dispositivo envía la lectura, entonces el sistema localiza el movimiento, me muestra la placa y el valor calculado para que confirme, y al confirmar cierra el movimiento y libera la celda.</t>
  </si>
  <si>
    <t xml:space="preserve">Dado que el código leido no tiene ningún movimiento abierto en este parqueadero, cuando el sistema lo verifica, entonces me informa que no hay estadía en curso y me ofrece buscar el vehículo de forma manual.</t>
  </si>
  <si>
    <t xml:space="preserve">HU-21, HU-43</t>
  </si>
  <si>
    <t xml:space="preserve">RN-03, RN-10, RN-13, RN-14, RN-15, RN-16, RNF-08, RNF-11, ADR-009, RF-22</t>
  </si>
  <si>
    <t xml:space="preserve">HU-45</t>
  </si>
  <si>
    <t xml:space="preserve">Continuar la operación cuando el lector no responde</t>
  </si>
  <si>
    <t xml:space="preserve">registrar entradas y salidas de forma manual cuando el lector esta fuera de servicio</t>
  </si>
  <si>
    <t xml:space="preserve">que una falla del dispositivo no detenga la operación del parqueadero</t>
  </si>
  <si>
    <t xml:space="preserve">Dado que el lector no responde o está desconectado, cuando abro la pantalla de entrada o de salida, entonces el formulario manual sigue disponible con las mismas validaciones y el movimiento queda registrado indicando que su origen fue manual.</t>
  </si>
  <si>
    <t xml:space="preserve">Dado que registro un movimiento de forma manual mientras el lector esta caído, cuando el lector vuelve a operar, entonces el movimiento ya registrado no se duplica y la lectura posterior del mismo código informa que la estadía ya esta en curso.</t>
  </si>
  <si>
    <t xml:space="preserve">HU-19, HU-20, HU-21</t>
  </si>
  <si>
    <t xml:space="preserve">RN-10, RN-16, RNF-08, RNF-11, ADR-009, RF-22</t>
  </si>
  <si>
    <t xml:space="preserve">HU-46</t>
  </si>
  <si>
    <t xml:space="preserve">Ser informado cuando mi cuenta queda bloqueada por intentos fallidos</t>
  </si>
  <si>
    <t xml:space="preserve">usuario con credenciales del sistema</t>
  </si>
  <si>
    <t xml:space="preserve">que el sistema bloquee temporalmente mi cuenta tras varios intentos fallidos y me diga cuanto falta para poder volver a intentar</t>
  </si>
  <si>
    <t xml:space="preserve">que nadie pueda adivinar mi contrasena a fuerza de intentos y yo sepa que esta pasando en lugar de quedarme sin explicacion</t>
  </si>
  <si>
    <t xml:space="preserve">Dado que ingreso una contrasena incorrecta, cuando el intento falla, entonces el sistema suma un intento fallido a mi cuenta y responde con un mensaje generico que no revela si el correo existe (RN-09). / Dado que acumulo cinco intentos fallidos consecutivos, cuando vuelvo a intentar, entonces el sistema rechaza el ingreso, informa los minutos que faltan y no valida la contrasena. / Dado que la cuenta esta bloqueada y transcurren quince minutos, cuando ingreso mis credenciales correctas, entonces entro al panel de mi rol y el contador de intentos vuelve a cero. / Dado un intento fallido o un bloqueo, cuando ocurre, entonces queda asentado en la bitacora con usuario, fecha y hora (RNF-07).</t>
  </si>
  <si>
    <t xml:space="preserve">Dado que mi cuenta esta bloqueada, cuando alguien ingresa la contrasena correcta antes de cumplirse el tiempo, entonces el sistema no abre la sesion, mantiene el bloqueo, informa el tiempo restante y deja el intento en la bitacora.</t>
  </si>
  <si>
    <t xml:space="preserve">RN-09, RNF-01, RNF-07, RF-02, ADR-008</t>
  </si>
  <si>
    <t xml:space="preserve">HU-47</t>
  </si>
  <si>
    <t xml:space="preserve">Anular un pago registrado por error indicando el motivo</t>
  </si>
  <si>
    <t xml:space="preserve">anular un pago que registre por error dejando escrito el motivo, y registrar el pago correcto aparte</t>
  </si>
  <si>
    <t xml:space="preserve">poder corregir un error de digitacion sin borrar el historial de dinero del cliente ni perder la cuenta de su cartera</t>
  </si>
  <si>
    <t xml:space="preserve">Dado un pago ya registrado, cuando lo anulo escribiendo el motivo, entonces el pago queda marcado como anulado sin borrarse (RN-13), se recalcula la fecha de vencimiento y el estado de cartera del cliente (RN-11, RN-12), y la anulacion queda en la bitacora con usuario, fecha, hora y motivo (RNF-07). / Dado un pago anulado, cuando consulto el historial de pagos del cliente, entonces aparece como anulado y no cuenta para el periodo vigente. / Dado que el valor registrado era incorrecto, cuando quiero corregirlo, entonces anulo el pago y registro uno nuevo, porque un pago no se edita ni se elimina.</t>
  </si>
  <si>
    <t xml:space="preserve">Dado que intento anular un pago sin escribir el motivo, cuando confirmo la operacion, entonces el sistema la rechaza, el pago permanece vigente y no se modifica ningun estado de cartera.</t>
  </si>
  <si>
    <t xml:space="preserve">RN-11, RN-12, RN-13, RNF-07, RF-14, ADR-007</t>
  </si>
  <si>
    <t xml:space="preserve">Reglas de negocio</t>
  </si>
  <si>
    <t xml:space="preserve">Condiciones que el sistema debe cumplir siempre, independientes de la pantalla. Se separan de las historias para no repetirlas en cada criterio de aceptación.</t>
  </si>
  <si>
    <t xml:space="preserve">Nombre</t>
  </si>
  <si>
    <t xml:space="preserve">Enunciado de la regla</t>
  </si>
  <si>
    <t xml:space="preserve">Historias que la aplican</t>
  </si>
  <si>
    <t xml:space="preserve">RN-01</t>
  </si>
  <si>
    <t xml:space="preserve">Capacidad y celdas</t>
  </si>
  <si>
    <t xml:space="preserve">Cada celda pertenece a un único parqueadero, tiene un código único dentro de el y un tipo permitido (carro, moto o mixta). Una celda solo puede estar en estado Libre u Ocupada, y solo puede alojar un vehículo a la vez.</t>
  </si>
  <si>
    <t xml:space="preserve">HU-07, HU-08, HU-19, HU-20, HU-23, HU-33</t>
  </si>
  <si>
    <t xml:space="preserve">RN-02</t>
  </si>
  <si>
    <t xml:space="preserve">Versionado de tarifas</t>
  </si>
  <si>
    <t xml:space="preserve">Una tarifa nunca se edita ni se borra: cada cambio crea una versión nueva con su fecha de vigencia. La versión anterior queda cerrada con fecha de reemplazo y permanece consultable.</t>
  </si>
  <si>
    <t xml:space="preserve">HU-09, HU-11, HU-21</t>
  </si>
  <si>
    <t xml:space="preserve">RN-03</t>
  </si>
  <si>
    <t xml:space="preserve">Congelamiento de tarifa</t>
  </si>
  <si>
    <t xml:space="preserve">El movimiento guarda la referencia a la versión de tarifa vigente en el instante de la ENTRADA. El cobro de la salida se calcula siempre con esa versión, aunque la tarifa haya cambiado mientras el vehículo estuvo adentro.</t>
  </si>
  <si>
    <t xml:space="preserve">HU-09, HU-19, HU-20, HU-21</t>
  </si>
  <si>
    <t xml:space="preserve">RN-04</t>
  </si>
  <si>
    <t xml:space="preserve">Formato y normalización de placa</t>
  </si>
  <si>
    <t xml:space="preserve">Antes de comparar o guardar, la placa se normaliza a mayúsculas y se le retiran espacios y guiones. Se valida contra el formato colombiano: AAA000 para automovil y AAA00A para motocicleta. La placa es única entre los vehículos ACTIVOS de un mismo parqueadero, no a nivel global del sistema.</t>
  </si>
  <si>
    <t xml:space="preserve">HU-12a, HU-13, HU-15, HU-19, HU-20</t>
  </si>
  <si>
    <t xml:space="preserve">RN-05</t>
  </si>
  <si>
    <t xml:space="preserve">El código de vinculación es alfanumérico de 6 caracteres, de un solo uso y vence a los 7 días calendario desde su emisión. Se invalida al usarse, al vencer, al generarse uno nuevo para la misma afiliación o tras tres intentos fallidos de vinculación. Se muestra una sola vez en pantalla y su emisión queda en la bitácora.</t>
  </si>
  <si>
    <t xml:space="preserve">HU-12b, HU-13, HU-17</t>
  </si>
  <si>
    <t xml:space="preserve">RN-06</t>
  </si>
  <si>
    <t xml:space="preserve">La placa identifica, no autentica</t>
  </si>
  <si>
    <t xml:space="preserve">La placa por si sola NUNCA autoriza acceso a información. Toda vinculación exige placa más código emitido por el administrador. Ante un intento fallido el sistema no revela si la placa existe.</t>
  </si>
  <si>
    <t xml:space="preserve">HU-12a, HU-12b, HU-13, HU-15, HU-40</t>
  </si>
  <si>
    <t xml:space="preserve">RN-07</t>
  </si>
  <si>
    <t xml:space="preserve">Vigencia del vínculo vehículo-cliente</t>
  </si>
  <si>
    <t xml:space="preserve">La relación entre un vehículo y una afiliación tiene fecha de inicio y fecha de fin. Al cambiar de dueño el vínculo se cierra, nunca se borra ni se reasigna. Cada movimiento pertenece al vínculo vigente en su fecha, de modo que el dueño anterior conserva su historial y el nuevo no lo ve.</t>
  </si>
  <si>
    <t xml:space="preserve">HU-16, HU-18, HU-28</t>
  </si>
  <si>
    <t xml:space="preserve">RN-08</t>
  </si>
  <si>
    <t xml:space="preserve">Consentimiento de datos personales</t>
  </si>
  <si>
    <t xml:space="preserve">Ningún dato personal se almacena sin base de autorización. Cuando el titular se registra por si mismo, la autorización es explicita y no premarcada, y se guarda la constancia con fecha y versión del texto aceptado. Cuando los datos los captura un tercero dentro del sistema (el administrador al registrar un cliente en HU-12a o al crear un operario en HU-38), el responsable declara contar con la autorización del titular y el sistema exige al titular aceptar la política en su primer ingreso, antes de habilitarle cualquier función. Del cliente ocasional solo se registra la placa, que se trata como dato personal para efectos de supresión. La política debe informar por adelantado que, ante una solicitud de supresión, los registros de dinero se conservan anonimizados por trazabilidad contable y que la supresión no procede mientras exista un deber contractual vigente.</t>
  </si>
  <si>
    <t xml:space="preserve">HU-01, HU-02, HU-12a, HU-13, HU-20, HU-35, HU-37, HU-38</t>
  </si>
  <si>
    <t xml:space="preserve">RN-09</t>
  </si>
  <si>
    <t xml:space="preserve">Credenciales</t>
  </si>
  <si>
    <t xml:space="preserve">Las contraseñas se almacenan únicamente como hash con sal. Nunca se guardan ni se transmiten en texto plano, y nunca se muestran ni se envían por correo. El mensaje de error de ingreso es genérico y no revela si el correo existe.</t>
  </si>
  <si>
    <t xml:space="preserve">HU-01, HU-02, HU-03, HU-05, HU-38, HU-46</t>
  </si>
  <si>
    <t xml:space="preserve">RN-10</t>
  </si>
  <si>
    <t xml:space="preserve">Unicidad de presencia</t>
  </si>
  <si>
    <t xml:space="preserve">Una misma placa no puede tener dos movimientos abiertos simultáneos dentro del mismo parqueadero. Un movimiento se considera abierto mientras no tenga hora de salida.</t>
  </si>
  <si>
    <t xml:space="preserve">HU-19, HU-20, HU-21, HU-23</t>
  </si>
  <si>
    <t xml:space="preserve">RN-11</t>
  </si>
  <si>
    <t xml:space="preserve">Ciclo de la mensualidad</t>
  </si>
  <si>
    <t xml:space="preserve">El período mensual es RODANTE. El primer pago de una afiliación inicia el período en su propia fecha y vence 30 días calendario después. A partir de ahí, un pago registrado antes del vencimiento encadena el período nuevo desde la fecha de vencimiento anterior y no desde la fecha de pago, de modo que el cliente no pierde los días que le quedaban. Un pago registrado después del vencimiento inicia un período nuevo en su propia fecha. Decisión cerrada en ADR-004; no hay prorrateo.</t>
  </si>
  <si>
    <t xml:space="preserve">HU-21, HU-24, HU-25, HU-29, HU-47</t>
  </si>
  <si>
    <t xml:space="preserve">RN-12</t>
  </si>
  <si>
    <t xml:space="preserve">Estados de cartera</t>
  </si>
  <si>
    <t xml:space="preserve">Al día: período vigente sin vencer. Por vencer: faltan 3 días o menos para el vencimiento. En mora: período vencido. Pendiente de primer pago: afiliación mensual sin ningún pago registrado.</t>
  </si>
  <si>
    <t xml:space="preserve">HU-21, HU-24, HU-25, HU-27, HU-29, HU-47</t>
  </si>
  <si>
    <t xml:space="preserve">RN-13</t>
  </si>
  <si>
    <t xml:space="preserve">Inmutabilidad de los registros de dinero</t>
  </si>
  <si>
    <t xml:space="preserve">Un movimiento cerrado o un pago registrado no se editan ni se eliminan. La corrección se hace por anulación con motivo obligatorio más un registro nuevo. Los registros anulados se excluyen de los totales pero permanecen visibles en los reportes de detalle.</t>
  </si>
  <si>
    <t xml:space="preserve">HU-22, HU-24, HU-26, HU-30, HU-32, HU-34, HU-37, HU-47</t>
  </si>
  <si>
    <t xml:space="preserve">RN-14</t>
  </si>
  <si>
    <t xml:space="preserve">Cálculo del cobro por tiempo</t>
  </si>
  <si>
    <t xml:space="preserve">El cobro por tiempo NO aplica cuando el vehículo pertenece a una afiliación mensual con período vigente, es decir en estado Al día o Por vencer según RN-12: en ese caso la estadía no genera cobro y el valor es cero. Las afiliaciones En mora o Pendientes de primer pago SI generan cobro por tiempo, igual que un visitante ocasional. En los demás casos el cobro se calcula por bloques de 24 horas contados desde la hora de entrada. Por cada bloque se cobra EL MENOR de dos valores: el tiempo transcurrido en ese bloque cobrado de forma proporcional a la tarifa hora (por minuto, sin redondear), o la tarifa día completa. El cobro mínimo total equivale a una hora. El total es la suma de los bloques. Ejemplo con tarifa de 3.000 por hora y 25.000 por día: 5 minutos cobran 3.000 (aplica el mínimo); 2 horas 20 minutos cobran 7.000 (gana el proporcional); 10 horas cobran 25.000 (gana la tarifa día, porque el punto de equilibrio con estas tarifas esta en 8,3 horas); 3 días y 2 horas cobran 81.000 (tres bloques completos a 25.000 más un bloque de 2 horas a 6.000). La regla de cálculo es fija; los valores en dinero los define cada administrador en RF-07.</t>
  </si>
  <si>
    <t xml:space="preserve">HU-21, HU-23, HU-40</t>
  </si>
  <si>
    <t xml:space="preserve">RN-15</t>
  </si>
  <si>
    <t xml:space="preserve">Código de tiquete del cliente ocasional</t>
  </si>
  <si>
    <t xml:space="preserve">Cada entrada de un vehículo SIN afiliación activa genera un código de tiquete aleatorio, no secuencial y no deducible de la placa, valido únicamente para ese movimiento. Se entrega al cliente ocasional impreso como código QR, de modo que pueda presentarlo al lector en la salida. Los vehículos afiliados no requieren tiquete porque su titular consulta la información desde su propia cuenta y dispone del código QR permanente de RN-17. El código sirve solo para consultar el estado del tiquete y nunca para autorizar ninguna operación. Se invalida al registrarse la salida. La consulta pública admite un máximo de 10 intentos por dirección IP cada 10 minutos y responde con un mensaje genérico ante cualquier código invalido.</t>
  </si>
  <si>
    <t xml:space="preserve">HU-20, HU-21, HU-40</t>
  </si>
  <si>
    <t xml:space="preserve">RN-16</t>
  </si>
  <si>
    <t xml:space="preserve">El código QR identifica, no autoriza</t>
  </si>
  <si>
    <t xml:space="preserve">La lectura de un código QR nunca cierra por si sola un registro de entrada o de salida. El sistema resuelve el vehículo asociado al código y presenta la placa al operario, quien la confirma contra el vehículo que tiene delante antes de guardar el movimiento. Un código revocado, vencido o desconocido no interrumpe la operación: el sistema lo informa y ofrece el registro manual. Es la misma lógica de RN-06 aplicada al código QR: identifica a quien se presenta, no acredita quien es.</t>
  </si>
  <si>
    <t xml:space="preserve">HU-41, HU-43, HU-44, HU-45</t>
  </si>
  <si>
    <t xml:space="preserve">RN-17</t>
  </si>
  <si>
    <t xml:space="preserve">Ciclo de vida del código QR del vehículo afiliado</t>
  </si>
  <si>
    <t xml:space="preserve">Cada vehículo afiliado tiene un único código QR activo a la vez. Se emite al registrar el vehículo y se entrega al titular, que lo conserva y lo porta consigo. El administrador puede revocarlo en cualquier momento por perdida, deterioro o cierre del vínculo vehículo-cliente; al revocarlo se puede emitir uno nuevo, y el anterior queda invalido de forma inmediata. La emisión, la entrega y la revocación quedan en la bitácora con usuario, fecha y motivo. Al cerrarse el vínculo por cambio de dueño según RN-07, el código se revoca automáticamente.</t>
  </si>
  <si>
    <t xml:space="preserve">HU-41, HU-42, HU-16, HU-18</t>
  </si>
  <si>
    <t xml:space="preserve">Cada uno trae su criterio de verificación: un RNF que no se puede verificar no es un requisito, es un deseo. La ultima columna cruza cada RNF con el riesgo que mitiga del documento Análisis de Seguridad en la Implantación de Software.</t>
  </si>
  <si>
    <t xml:space="preserve">Categoría</t>
  </si>
  <si>
    <t xml:space="preserve">Requisito</t>
  </si>
  <si>
    <t xml:space="preserve">Como se verifica</t>
  </si>
  <si>
    <t xml:space="preserve">Prioridad</t>
  </si>
  <si>
    <t xml:space="preserve">Relacionado con</t>
  </si>
  <si>
    <t xml:space="preserve">Riesgo que mitiga (Análisis de Seguridad)</t>
  </si>
  <si>
    <t xml:space="preserve">RNF-01</t>
  </si>
  <si>
    <t xml:space="preserve">Seguridad - autenticación</t>
  </si>
  <si>
    <t xml:space="preserve">Contraseñas almacenadas como hash con sal mediante un algoritmo de derivación de clave reconocido. La sesión expira tras 30 minutos de inactividad. Tras 5 intentos fallidos consecutivos la cuenta queda bloqueada durante 15 minutos. El operario debe cambiar su contraseña inicial en el primer ingreso.</t>
  </si>
  <si>
    <t xml:space="preserve">Un intento de fuerza bruta de 100 combinaciones sobre una cuenta debe quedar bloqueado y registrado en la bitácora.</t>
  </si>
  <si>
    <t xml:space="preserve">Alta</t>
  </si>
  <si>
    <t xml:space="preserve">HU-01, HU-03, HU-05, HU-06, HU-38, HU-46</t>
  </si>
  <si>
    <t xml:space="preserve">R2 - Robo de credenciales de usuario</t>
  </si>
  <si>
    <t xml:space="preserve">Seguridad - aislamiento entre parqueaderos</t>
  </si>
  <si>
    <t xml:space="preserve">El identificador del parqueadero se deriva SIEMPRE de la sesión autenticada, nunca de un parametro enviado por el cliente. Ninguna consulta puede devolver datos de un parqueadero distinto al de la sesión.</t>
  </si>
  <si>
    <t xml:space="preserve">El administrador del parqueadero A solicita un recurso del parqueadero B alterando el identificador en la petición y el sistema responde acceso denegado.</t>
  </si>
  <si>
    <t xml:space="preserve">Crítica</t>
  </si>
  <si>
    <t xml:space="preserve">Transversal a EP-01 a EP-08</t>
  </si>
  <si>
    <t xml:space="preserve">R4 - Escalamiento de privilegios entre roles</t>
  </si>
  <si>
    <t xml:space="preserve">RNF-03</t>
  </si>
  <si>
    <t xml:space="preserve">Seguridad - autorización por rol</t>
  </si>
  <si>
    <t xml:space="preserve">Cada operación valida rol y pertenencia EN EL SERVIDOR, no solo ocultando opciones en la interfaz. Matriz de permisos: el administrador accede a todo su parqueadero; el operario solo a ocupación, entrada, salida y vehículos adentro; el cliente solo a sus propios datos. Un cliente no puede acceder a datos de otro cliente ni a funciones de administrador, y un operario no puede acceder a tarifas, cartera, clientes, reportes ni bitácora.</t>
  </si>
  <si>
    <t xml:space="preserve">Tres pruebas: un cliente solicita el historial de otro cliente y recibe acceso denegado; un operario solicita el reporte de ingresos y recibe acceso denegado; ambos intentos quedan en la bitácora.</t>
  </si>
  <si>
    <t xml:space="preserve">HU-13, HU-19, HU-28, HU-30, HU-39, Transversal</t>
  </si>
  <si>
    <t xml:space="preserve">RNF-04</t>
  </si>
  <si>
    <t xml:space="preserve">Seguridad - transporte</t>
  </si>
  <si>
    <t xml:space="preserve">Toda comunicación sobre HTTPS. Ninguna credencial, código de vinculación, código de tiquete ni dato personal viaja en la URL ni queda en los registros del servidor.</t>
  </si>
  <si>
    <t xml:space="preserve">Inspección de tráfico y de logs sin encontrar credenciales, códigos ni datos personales en claro.</t>
  </si>
  <si>
    <t xml:space="preserve">Transversal, HU-40</t>
  </si>
  <si>
    <t xml:space="preserve">R2 - Robo de credenciales / R5 - Filtración de documentación</t>
  </si>
  <si>
    <t xml:space="preserve">RNF-05</t>
  </si>
  <si>
    <t xml:space="preserve">Protección de datos personales</t>
  </si>
  <si>
    <t xml:space="preserve">Se recolecta el mínimo dato necesario. Del cliente ocasional no se captura ningún dato de contacto ni documento de identidad: solo la placa y un código de tiquete. La placa se trata como dato personal para efectos de supresión y nunca se muestra completa en pantallas públicas. Política de tratamiento publicada y aceptada de forma explicita. La supresión se atiende por anonimización, conservando los registros de dinero sin titular identificable (Ley 1581 de 2012 y Decreto 1377 de 2013, compilado en el Decreto 1074 de 2015).</t>
  </si>
  <si>
    <t xml:space="preserve">Un registro de cliente ocasional se completa sin capturar nombre, documento, teléfono ni correo; la consulta pública de HU-40 nunca devuelve la placa completa; una solicitud de supresión deja el registro de pago intacto y sin titular identificable.</t>
  </si>
  <si>
    <t xml:space="preserve">HU-20, HU-27, HU-35, HU-37, HU-40, HU-43</t>
  </si>
  <si>
    <t xml:space="preserve">R1 - Acceso no autorizado a la base de datos / R5</t>
  </si>
  <si>
    <t xml:space="preserve">RNF-06</t>
  </si>
  <si>
    <t xml:space="preserve">Desempeño</t>
  </si>
  <si>
    <t xml:space="preserve">Las pantallas operativas de uso frecuente (ocupación, entrada, salida, vehículos adentro y listado de clientes) responden en menos de 2 segundos sobre un conjunto de datos de referencia de 60 celdas, 200 clientes afiliados y 12 meses de movimientos.</t>
  </si>
  <si>
    <t xml:space="preserve">Prueba de carga sobre el conjunto de datos de referencia midiendo el percentil 95 del tiempo de respuesta de las cinco pantallas indicadas.</t>
  </si>
  <si>
    <t xml:space="preserve">Media</t>
  </si>
  <si>
    <t xml:space="preserve">HU-08, HU-14, HU-23, HU-32, HU-33, HU-39</t>
  </si>
  <si>
    <t xml:space="preserve">RNF-07</t>
  </si>
  <si>
    <t xml:space="preserve">Auditoría y trazabilidad</t>
  </si>
  <si>
    <t xml:space="preserve">Toda operación sobre dinero, tarifas, vinculaciones, cuentas de operario y datos personales queda en una bitácora solo anexable (se escribe y se consulta, pero ningún registro se modifica ni se elimina) con usuario, fecha y hora. Las operaciones que corrigen o revierten un hecho ya registrado (anulaciones y correcciones de movimiento) exigen además un motivo escrito. Ningún rol puede modificar ni eliminar la bitácora.</t>
  </si>
  <si>
    <t xml:space="preserve">Ejecutar una anulación y verificar que el evento aparece en la bitácora y que ningún rol logra modificarlo.</t>
  </si>
  <si>
    <t xml:space="preserve">HU-11, HU-16, HU-17, HU-22, HU-26, HU-34, HU-36, HU-37, HU-38, HU-39, HU-46, HU-47</t>
  </si>
  <si>
    <t xml:space="preserve">R1 - Acceso no autorizado / R4 - Escalamiento de privilegios</t>
  </si>
  <si>
    <t xml:space="preserve">Usabilidad</t>
  </si>
  <si>
    <t xml:space="preserve">Ni el administrador ni el operario objetivo son personas con formación técnica. Registrar una entrada y registrar una salida deben completarse en no más de cinco pasos cada una y sin capacitación previa.</t>
  </si>
  <si>
    <t xml:space="preserve">Prueba con 3 usuarios sin formación técnica: al menos 2 completan ambas tareas sin ayuda, dentro del limite de cinco pasos y sin errores que impidan terminar.</t>
  </si>
  <si>
    <t xml:space="preserve">HU-10, HU-19, HU-20, HU-21, HU-39</t>
  </si>
  <si>
    <t xml:space="preserve">RNF-09</t>
  </si>
  <si>
    <t xml:space="preserve">Disponibilidad y respaldo</t>
  </si>
  <si>
    <t xml:space="preserve">Respaldo automático diario de la base de datos con retención de 30 días y procedimiento de restauración probado al menos una vez antes de la entrega.</t>
  </si>
  <si>
    <t xml:space="preserve">Ejecutar una restauración completa desde un respaldo y verificar la integridad de los datos.</t>
  </si>
  <si>
    <t xml:space="preserve">Transversal</t>
  </si>
  <si>
    <t xml:space="preserve">R1 - Pérdida o alteración de la base de datos</t>
  </si>
  <si>
    <t xml:space="preserve">RNF-10</t>
  </si>
  <si>
    <t xml:space="preserve">Seguridad - gestión del código fuente</t>
  </si>
  <si>
    <t xml:space="preserve">El repositorio permanece privado durante todo el proyecto. Ninguna credencial, clave de conexión ni dato real de prueba se versiona: la configuración sensible se maneja por variables de entorno y el archivo de ejemplo se pública sin valores. Se revisa el historial antes de cada entrega.</t>
  </si>
  <si>
    <t xml:space="preserve">Revisión del repositorio y de su historial de commits sin encontrar credenciales ni cadenas de conexión; verificación de que la visibilidad es privada.</t>
  </si>
  <si>
    <t xml:space="preserve">Transversal al proyecto</t>
  </si>
  <si>
    <t xml:space="preserve">R3 - Filtración del código fuente</t>
  </si>
  <si>
    <t xml:space="preserve">RNF-11</t>
  </si>
  <si>
    <t xml:space="preserve">Seguridad - dispositivo lector</t>
  </si>
  <si>
    <t xml:space="preserve">El dispositivo lector se autentica ante la API con una clave propia de dispositivo, revocable desde el sistema y distinta de las credenciales de cualquier persona. Envía únicamente el código leido y el identificador del punto de lectura, siempre sobre HTTPS y en el cuerpo de la petición, nunca en la URL. Un lector no autenticado, revocado o desconocido es rechazado y el intento queda en la bitácora. La indisponibilidad del lector no bloquea la operación: el registro manual permanece habilitado en todo momento.</t>
  </si>
  <si>
    <t xml:space="preserve">Se envía una lectura desde un dispositivo sin clave valida y el sistema responde acceso denegado dejando el intento en la bitácora; se desconecta el lector y el operario completa una entrada y una salida por la vía manual.</t>
  </si>
  <si>
    <t xml:space="preserve">HU-43, HU-44, HU-45, RN-16</t>
  </si>
  <si>
    <t xml:space="preserve">R2 - Robo de credenciales</t>
  </si>
  <si>
    <t xml:space="preserve">Nota: el ultimo requisito es nuevo en la v3.0. El riesgo R3 del Análisis de Seguridad (filtración del código fuente) no estaba cubierto por ningún requisito verificable.</t>
  </si>
  <si>
    <t xml:space="preserve">Checklist INVEST por historia</t>
  </si>
  <si>
    <t xml:space="preserve">Independiente / Negociable / Valiosa / Estimable / Small / Testeable. El criterio I se evalua como ENTREGABLE de forma independiente, no como construible en cualquier orden: se marca Revisar únicamente cuando la historia no aporta valor por si sola sin otra. Una observación escrita vale más que un Si sin sustento.</t>
  </si>
  <si>
    <t xml:space="preserve">I</t>
  </si>
  <si>
    <t xml:space="preserve">N</t>
  </si>
  <si>
    <t xml:space="preserve">V</t>
  </si>
  <si>
    <t xml:space="preserve">E</t>
  </si>
  <si>
    <t xml:space="preserve">S</t>
  </si>
  <si>
    <t xml:space="preserve">T</t>
  </si>
  <si>
    <t xml:space="preserve">Observación</t>
  </si>
  <si>
    <t xml:space="preserve">Si</t>
  </si>
  <si>
    <t xml:space="preserve">Resuelto en la v3.0: la antigua HU-12 de 8 puntos se dividió. Esta mitad entrega valor por si sola porque el administrador ya tiene su lista de clientes aunque el código todavía no exista.</t>
  </si>
  <si>
    <t xml:space="preserve">Revisar</t>
  </si>
  <si>
    <t xml:space="preserve">Depende de HU-12a en el orden de construcción, pero se entrega y se prueba de forma independiente.</t>
  </si>
  <si>
    <t xml:space="preserve">Reclasificada a Must en la v3.0: es el único camino de recuperación cuando el código se pierde, se bloquea tras 3 intentos o vence a los 7 días. Sin ella, un cliente bloqueado no puede vincularse nunca.</t>
  </si>
  <si>
    <t xml:space="preserve">Depende de HU-07, HU-09 y HU-12a en el orden de construcción, pero entrega valor por si sola: registrar un ingreso ya sustituye el cuaderno.</t>
  </si>
  <si>
    <t xml:space="preserve">8 puntos, la historia más grande del backlog. Se mantiene UNIDA por decisión del equipo (14/08/2026): dividirla en cerrar movimiento y calcular cobro dejaría una primera mitad que libera la celda sin cobrar nada, lo cual no es un incremento entregable. Concentra RN-03, RN-10, RN-14 y RN-15.</t>
  </si>
  <si>
    <t xml:space="preserve">Resuelto en la v3.0: la historia pasa de eliminar a inhabilitar y luego anonimizar (ADR-007), con lo cual el alcance queda cerrado y la historia es estimable y testeable.</t>
  </si>
  <si>
    <t xml:space="preserve">Depende de HU-38. Su valor esta sobre todo en lo que NIEGA, así que su prueba principal son los intentos de acceso denegados, no la vista en si.</t>
  </si>
  <si>
    <t xml:space="preserve">No aporta valor sin el código que genera HU-20, por eso se marca Revisar en I. Es la única historia con una pantalla pública sin autenticación, de modo que su escenario de error pesa tanto como su criterio de aceptación.</t>
  </si>
  <si>
    <t xml:space="preserve">Depende de HU-03 para tener sesion, pero se construye y se prueba aparte. Verificable con un guion de cinco intentos fallidos.</t>
  </si>
  <si>
    <t xml:space="preserve">Misma forma que HU-22 para movimientos. El recalculo de cartera es la parte que concentra el esfuerzo.</t>
  </si>
  <si>
    <t xml:space="preserve">Matriz de trazabilidad</t>
  </si>
  <si>
    <t xml:space="preserve">Cadena Necesidad -&gt; Stakeholder -&gt; Épica -&gt; Historia -&gt; Regla o RNF -&gt; Caso de prueba. La ultima columna se completa en la fase de Pruebas y ajustes (01/12/2026 - 22/12/2026 según el cronograma del Acta de Constitución).</t>
  </si>
  <si>
    <t xml:space="preserve">Necesidad del negocio</t>
  </si>
  <si>
    <t xml:space="preserve">Historias</t>
  </si>
  <si>
    <t xml:space="preserve">Reglas / RNF</t>
  </si>
  <si>
    <t xml:space="preserve">NEC-01</t>
  </si>
  <si>
    <t xml:space="preserve">Eliminar el control manual en papel de las entradas y salidas de vehículos</t>
  </si>
  <si>
    <t xml:space="preserve">Acta de Constitución, Antecedentes y Justificación</t>
  </si>
  <si>
    <t xml:space="preserve">HU-07, HU-08, HU-19, HU-20, HU-21, HU-23, HU-43, HU-44, HU-45</t>
  </si>
  <si>
    <t xml:space="preserve">RN-01, RN-10, RN-16, RNF-08, RNF-11</t>
  </si>
  <si>
    <t xml:space="preserve">Por definir</t>
  </si>
  <si>
    <t xml:space="preserve">NEC-02</t>
  </si>
  <si>
    <t xml:space="preserve">Cobrar el valor exacto sin cálculos manuales ni discusiones con el cliente</t>
  </si>
  <si>
    <t xml:space="preserve">Acta de Constitución, Objetivo Específico 5</t>
  </si>
  <si>
    <t xml:space="preserve">HU-09, HU-11, HU-21, HU-22</t>
  </si>
  <si>
    <t xml:space="preserve">RN-02, RN-03, RN-13, RN-14</t>
  </si>
  <si>
    <t xml:space="preserve">NEC-03</t>
  </si>
  <si>
    <t xml:space="preserve">Saber en todo momento quién está al día y quién está en mora, y poder cobrar a tiempo</t>
  </si>
  <si>
    <t xml:space="preserve">RN-11, RN-12, RN-13</t>
  </si>
  <si>
    <t xml:space="preserve">NEC-04</t>
  </si>
  <si>
    <t xml:space="preserve">Dar transparencia al cliente sobre su propio uso y su estado de cuenta</t>
  </si>
  <si>
    <t xml:space="preserve">Acta de Constitución, Objetivo Específico 6</t>
  </si>
  <si>
    <t xml:space="preserve">RN-07, RN-12, RNF-03</t>
  </si>
  <si>
    <t xml:space="preserve">NEC-05</t>
  </si>
  <si>
    <t xml:space="preserve">Entender el desempeño del negocio con datos y no con percepción</t>
  </si>
  <si>
    <t xml:space="preserve">Acta de Constitución, Objetivo Específico 7</t>
  </si>
  <si>
    <t xml:space="preserve">RN-13, RNF-06</t>
  </si>
  <si>
    <t xml:space="preserve">NEC-06</t>
  </si>
  <si>
    <t xml:space="preserve">Permitir que varios parqueaderos independientes usen la plataforma sin verse entre si</t>
  </si>
  <si>
    <t xml:space="preserve">Acta de Constitución, Alcance Incluido + ADR-001</t>
  </si>
  <si>
    <t xml:space="preserve">EP-01, EP-03</t>
  </si>
  <si>
    <t xml:space="preserve">HU-01, HU-02, HU-03, HU-12a, HU-12b, HU-13, HU-14</t>
  </si>
  <si>
    <t xml:space="preserve">RN-04, RN-05, RN-06, RNF-02</t>
  </si>
  <si>
    <t xml:space="preserve">NEC-07</t>
  </si>
  <si>
    <t xml:space="preserve">Cumplir la protección de datos personales y poder auditar toda operación sobre dinero</t>
  </si>
  <si>
    <t xml:space="preserve">Análisis de Seguridad (R1, R4, R5) + Ley 1581 de 2012</t>
  </si>
  <si>
    <t xml:space="preserve">HU-22, HU-35, HU-36, HU-37</t>
  </si>
  <si>
    <t xml:space="preserve">RN-08, RN-09, RN-13, RNF-05, RNF-07</t>
  </si>
  <si>
    <t xml:space="preserve">NEC-08</t>
  </si>
  <si>
    <t xml:space="preserve">Permitir que el operario de turno registre los movimientos sin ver información del negocio que no le corresponde</t>
  </si>
  <si>
    <t xml:space="preserve">Acta de Constitución, Objetivo General y Específico 2 + Stakeholders STK-02</t>
  </si>
  <si>
    <t xml:space="preserve">HU-03, HU-19, HU-20, HU-21, HU-23, HU-38, HU-39, HU-43, HU-44, HU-45</t>
  </si>
  <si>
    <t xml:space="preserve">RN-09, RNF-02, RNF-03, RNF-07, RNF-08</t>
  </si>
  <si>
    <t xml:space="preserve">NEC-09</t>
  </si>
  <si>
    <t xml:space="preserve">Atender al cliente de paso sin obligarlo a registrarse y dejarlo consultar lo que va a pagar</t>
  </si>
  <si>
    <t xml:space="preserve">Stakeholders STK-04, Necesidad y Expectativa</t>
  </si>
  <si>
    <t xml:space="preserve">RN-06, RN-14, RN-15, RNF-05</t>
  </si>
  <si>
    <t xml:space="preserve">NEC-10</t>
  </si>
  <si>
    <t xml:space="preserve">Proteger el código fuente y la documentación generada por el sistema</t>
  </si>
  <si>
    <t xml:space="preserve">Análisis de Seguridad (R3, R5)</t>
  </si>
  <si>
    <t xml:space="preserve">HU-27, HU-36</t>
  </si>
  <si>
    <t xml:space="preserve">RNF-04, RNF-07, RNF-10</t>
  </si>
  <si>
    <t xml:space="preserve">NEC-11</t>
  </si>
  <si>
    <t xml:space="preserve">Mantener al día la información del parqueadero y de las afiliaciones a lo largo del tiempo: segundo vehículo, cambio de dueño y retiro de un cliente</t>
  </si>
  <si>
    <t xml:space="preserve">Acta de Constitución, Objetivo Específico 1 (modelo de datos)</t>
  </si>
  <si>
    <t xml:space="preserve">EP-02, EP-03</t>
  </si>
  <si>
    <t xml:space="preserve">HU-10, HU-15, HU-16, HU-17, HU-18, HU-41, HU-42</t>
  </si>
  <si>
    <t xml:space="preserve">RN-04, RN-06, RN-07, RNF-07, RNF-08</t>
  </si>
  <si>
    <t xml:space="preserve">NEC-12</t>
  </si>
  <si>
    <t xml:space="preserve">Que cada usuario gestione su propio acceso y sus credenciales sin depender de otra persona</t>
  </si>
  <si>
    <t xml:space="preserve">Acta de Constitución, Objetivo Específico 2 (autenticación y autorización)</t>
  </si>
  <si>
    <t xml:space="preserve">HU-04, HU-05, HU-06, HU-46</t>
  </si>
  <si>
    <t xml:space="preserve">RN-09, RNF-01, RNF-04</t>
  </si>
  <si>
    <t xml:space="preserve">Decisiones de arquitectura registradas</t>
  </si>
  <si>
    <t xml:space="preserve">Una decisión sin alternativas evaluadas no es un ADR, es una nota. Las siete decisiones de reglas de negocio y de arquitectura funcional están Aceptadas: al 14/08/2026 no queda ninguna decisión de negocio abierta. Queda pendiente ADR-008 sobre el stack tecnológico (lenguaje de servidor y framework), que se registra en la fase de Diseño y arquitectura.</t>
  </si>
  <si>
    <t xml:space="preserve">Decisión</t>
  </si>
  <si>
    <t xml:space="preserve">Contexto (que problema resuelve)</t>
  </si>
  <si>
    <t xml:space="preserve">Decisión tomada</t>
  </si>
  <si>
    <t xml:space="preserve">Alternativas evaluadas y descartadas</t>
  </si>
  <si>
    <t xml:space="preserve">Consecuencias</t>
  </si>
  <si>
    <t xml:space="preserve">ADR-001</t>
  </si>
  <si>
    <t xml:space="preserve">Estrategia de multi-tenencia</t>
  </si>
  <si>
    <t xml:space="preserve">Aceptada</t>
  </si>
  <si>
    <t xml:space="preserve">Se quiere poder ofrecer la plataforma a varios parqueaderos independientes, cada uno con su propio administrador, sin reinstalar el sistema para cada uno. El Acta de Constitución lo confirma: el sistema permitirá administrar uno o varios parqueaderos.</t>
  </si>
  <si>
    <t xml:space="preserve">Base de datos compartida con discriminador de inquilino: cada tabla operativa lleva parqueadero_id y toda consulta se filtra por el identificador derivado de la sesión.</t>
  </si>
  <si>
    <t xml:space="preserve">1) Una instalación separada por parqueadero: descartada porque cada cliente nuevo exige un despliegue manual y multiplica el mantenimiento. 2) Una base de datos por parqueadero: descartada por complejidad de migraciones y respaldos para el tamaño del equipo.</t>
  </si>
  <si>
    <t xml:space="preserve">El sistema soporta N parqueaderos desde el día uno y funciona igual con N=1. Obliga a implementar RNF-02 desde el inicio: un filtro olvidado expone datos de otro parqueadero.</t>
  </si>
  <si>
    <t xml:space="preserve">ADR-002</t>
  </si>
  <si>
    <t xml:space="preserve">Mecanismo de vinculación cliente-vehículo-parqueadero</t>
  </si>
  <si>
    <t xml:space="preserve">Un cliente que se registra por su cuenta no tiene forma de indicar a que parqueadero pertenece, y el administrador tampoco puede confiar en que la placa que alguien declare sea suya.</t>
  </si>
  <si>
    <t xml:space="preserve">Vinculación por placa más código de 6 caracteres emitido por el administrador. El registro del administrador es la fuente de verdad; el cliente solo activa.</t>
  </si>
  <si>
    <t xml:space="preserve">1) Invitación por correo: descartada porque muchos clientes de parqueaderos pequeños no le dan correo al administrador. 2) Autovinculación solo con la placa: descartada porque la placa es pública y cualquiera podría reclamar un vehículo ajeno.</t>
  </si>
  <si>
    <t xml:space="preserve">Elimina los duplicados por construcción y resuelve también a que parqueadero se vincula el cliente, porque el código ya pertenece a un parqueadero. Exige gestionar vencimiento y regeneración de códigos (HU-12b, HU-17).</t>
  </si>
  <si>
    <t xml:space="preserve">ADR-003</t>
  </si>
  <si>
    <t xml:space="preserve">Modelo de espacios: celdas identificadas</t>
  </si>
  <si>
    <t xml:space="preserve">Aceptada  (confirmada 14/08/2026)</t>
  </si>
  <si>
    <t xml:space="preserve">El backlog v1 guardaba un número total de espacios pero pedía mostrar cuales estaban ocupados, lo cual es imposible con un contador.</t>
  </si>
  <si>
    <t xml:space="preserve">Inventario de celdas identificadas con código propio (A-01, A-02) y tipo de vehículo permitido. Confirmado por el Acta de Constitución, que habla expresamente de celdas identificadas y de asociar cada movimiento a una placa y a una celda.</t>
  </si>
  <si>
    <t xml:space="preserve">Contador simple de cupos disponibles: más fácil de implementar, pero impide el tablero de ocupación, la asignación de celda al ingreso y el reporte de ocupación por franja.</t>
  </si>
  <si>
    <t xml:space="preserve">Habilita HU-08, HU-19, HU-20 y HU-33 tal como están escritas. Costo adicional estimado: 2 a 3 puntos. Se elimina el supuesto SUP-01 de la v2.</t>
  </si>
  <si>
    <t xml:space="preserve">ADR-004</t>
  </si>
  <si>
    <t xml:space="preserve">Ciclo de facturación rodante</t>
  </si>
  <si>
    <t xml:space="preserve">No estaba definido cuando inicia y cuando termina el período mensual de un cliente, lo que dejaba las historias de cartera sin criterio verificable.</t>
  </si>
  <si>
    <t xml:space="preserve">Período rodante de 30 días calendario desde la fecha del pago, encadenado desde el vencimiento anterior cuando el cliente paga antes de vencerse.</t>
  </si>
  <si>
    <t xml:space="preserve">Corte fijo mensual el día 1: más alineado con la contabilidad tradicional, pero exige prorrateo para quien se afilia a mitad de mes, lo que agrega una regla de cálculo adicional y es la fuente de error más comun en este tipo de sistemas.</t>
  </si>
  <si>
    <t xml:space="preserve">Simplifica RN-11 y RN-12 y elimina la necesidad de prorrateo. Se elimina el supuesto SUP-02 de la v2. Si el negocio real llegara a exigir corte fijo, cambia RN-11 y afecta HU-24, HU-25 y HU-29. Nota de contexto (09/09/2026): esta decisión se definio sobre el caso general del segmento al que se dirige la plataforma y no se derivo del parqueadero de referencia, cuya práctica actual es fecha fija de pago dentro del mes calendario, con la lista de clientes reescrita a mano cada mes en tres segmentos (1-10, 10-20 y 20-30). La diferencia es deliberada y busca la replicabilidad del producto.</t>
  </si>
  <si>
    <t xml:space="preserve">ADR-005</t>
  </si>
  <si>
    <t xml:space="preserve">Inclusión del rol operario en la primera versión</t>
  </si>
  <si>
    <t xml:space="preserve">Aceptada  (14/08/2026)</t>
  </si>
  <si>
    <t xml:space="preserve">El backlog v2 dejaba el rol de operario fuera de alcance, pero el Acta de Constitución lo promete en el objetivo general, en el objetivo específico 2 y en el Entregable 5 (mockups de los tres paneles), y el documento de Stakeholders lo clasifica como STK-02, usuario clave con interes alto. Era una contradicción entre entregables del mismo proyecto, justamente el riesgo que STK-06 califica de impacto alto.</t>
  </si>
  <si>
    <t xml:space="preserve">El operario entra a la primera versión como tercer rol. Se implementa como un valor más del rol de la afiliación ya modelada en ADR-001, con permisos restringidos a ocupación, entrada, salida y vehículos adentro.</t>
  </si>
  <si>
    <t xml:space="preserve">1) Sacar el operario del Acta: descartada porque obliga a reescribir un documento ya entregado y fechado, y a renunciar a un entregable comprometido. 2) Dejarlo para una segunda versión: descartada porque el operario es el usuario real del sistema en la caseta; sin el, la plataforma describe una realidad que el propio Acta documenta y luego ignora.</t>
  </si>
  <si>
    <t xml:space="preserve">Suma HU-38 y HU-39 (8 puntos) y amplia HU-03, HU-19, HU-20, HU-21 y HU-23. Convierte RNF-03 en un requisito verificable con casos concretos en lugar de una declaración genérica. Se elimina la fila de operario de la hoja Fuera de alcance.</t>
  </si>
  <si>
    <t xml:space="preserve">ADR-006</t>
  </si>
  <si>
    <t xml:space="preserve">Algoritmo de cobro por bloques de 24 horas</t>
  </si>
  <si>
    <t xml:space="preserve">La v2 proponía redondear la fracción a la hora superior y aplicar tarifa día a partir de un umbral fijo de 12 horas. Con cobro proporcional ese umbral produce cobros superiores a la tarifa día: con 3.000 por hora y 25.000 por día, el punto de equilibrio real esta en 8,3 horas, de modo que una estadía de 10 horas cobraría 30.000. Además no había ninguna regla para estadías de varios días.</t>
  </si>
  <si>
    <t xml:space="preserve">Cobro por bloques de 24 horas desde la entrada. Por bloque se cobra el menor entre el proporcional por minuto y la tarifa día. Cobro mínimo total de una hora. El umbral deja de ser un número fijo y se deduce solo de las tarifas de cada administrador.</t>
  </si>
  <si>
    <t xml:space="preserve">1) Redondeo a la hora superior: descartada por ser menos justa y más difícil de explicarle al cliente. 2) Umbral fijo de 12 horas: descartada porque cobra de más entre el punto de equilibrio y el umbral, y porque el punto de equilibrio cambia con las tarifas de cada parqueadero. 3) Umbral configurable por el administrador: descartada por agregar un parametro que se puede calcular solo.</t>
  </si>
  <si>
    <t xml:space="preserve">RN-14 queda cerrada y verificable con casos concretos: 5 minutos cobran 3.000; 2 horas 20 minutos cobran 7.000; 10 horas cobran 25.000; 3 días y 2 horas cobran 81.000. La regla funciona con cualquier tarifa y nunca cobra por encima de la tarifa día. Los valores en dinero los sigue definiendo cada administrador en HU-09. La exención del cliente mensual vigente queda escrita en la propia regla, para que HU-21 no le cobre la estadía a quien ya pago su período. Nota de contexto (09/09/2026): el parqueadero de referencia no tiene hoy tarifa definida para el visitante ocasional: se cobra por días el valor que el administrador decide en el momento. El algoritmo es por tanto capacidad nueva que el sistema introduce y no la automatización de una práctica existente.</t>
  </si>
  <si>
    <t xml:space="preserve">ADR-007</t>
  </si>
  <si>
    <t xml:space="preserve">Inhabilitación y anonimización en lugar de eliminación de datos</t>
  </si>
  <si>
    <t xml:space="preserve">El derecho de supresión de la Ley 1581 de 2012 choca con RN-13, que declara inmutables los registros de dinero: borrar a un cliente dejaría sus pagos huérfanos y rompería la contabilidad y la auditoría del administrador.</t>
  </si>
  <si>
    <t xml:space="preserve">Dos estados. Mientras exista una obligación vigente (mensualidad activa, saldo pendiente o vehículo adentro), la solicitud queda En espera y la afiliación se inhabilita de la operación diaria conservando los datos, amparada en el deber contractual que reconoce el Decreto 1377 de 2013 (artículo compilado en el Decreto 1074 de 2015): la supresión no procede cuando el titular tiene un deber legal o contractual de permanecer en la base de datos. Terminada la obligación, la solicitud se ejecuta por anonimización: los datos identificables se reemplazan por marcadores neutros y el registro financiero sobrevive sin titular.</t>
  </si>
  <si>
    <t xml:space="preserve">1) Eliminación física del registro: descartada porque destruye la trazabilidad contable exigida por RN-13 y RNF-07. 2) Negar siempre la supresión apoyandose en los términos y condiciones: descartada porque un contrato no puede renunciar a un derecho legal; la excepción la da la norma, no el contrato, y es temporal mientras dure la obligación. 3) Inhabilitar sin anonimizar nunca: descartada porque en la práctica el derecho de supresión no existiria.</t>
  </si>
  <si>
    <t xml:space="preserve">Reescribe HU-37 y amplia RN-08: la política de tratamiento debe informar por adelantado que los registros de dinero se conservan anonimizados. Requiere validación del enfoque con el instructor antes de la sustentación.</t>
  </si>
  <si>
    <t xml:space="preserve">ADR-008</t>
  </si>
  <si>
    <t xml:space="preserve">Selección del lenguaje de servidor y del motor de persistencia</t>
  </si>
  <si>
    <t xml:space="preserve">Aceptada  (11/09/2026)</t>
  </si>
  <si>
    <t xml:space="preserve">El Acta de Constitución lista MySQL, XAMPP, Visual Studio Code, GitHub y Figma como recursos disponibles del equipo, no como obligación del proyecto. Hasta la v3.2 ninguna decisión registrada justificaba una elección de stack, y la numeración del libro saltaba de ADR-007 a ADR-009. Lo que si es restricción es que el producto sea web responsivo, que el código viva en control de versiones y que el equipo pueda explicar toda tecnología que incorpore.</t>
  </si>
  <si>
    <t xml:space="preserve">JavaScript en todo el proyecto. Servidor: Node.js 22 LTS con Express. Cliente: React 18 con Vite y Bootstrap 5 mediante react-bootstrap. Persistencia: PostgreSQL gestionado en Neon, con Prisma como ORM. Autenticacion: sesion en servidor con express-session, almacenada en PostgreSQL, y bcrypt para el hash de la contrasena. Despliegue: dos proyectos en Vercel sobre un mismo repositorio, con /api/* del dominio del cliente redirigido al servidor. Documentacion y pruebas manuales de la API: coleccion de Postman publicada. Pruebas automatizadas: Vitest con Supertest. Analisis estatico: SonarCloud, ESLint y Prettier. Manejo de fechas: toda marca de tiempo se almacena como timestamptz en UTC y se convierte a America/Bogota solo al presentarla, porque de ello dependen RN-14 (bloques de 24 horas) y RN-11 (vencimiento a 30 dias).</t>
  </si>
  <si>
    <t xml:space="preserve">1) PHP 8.3 con Laravel: viable y la lectura literal de los recursos del Acta (MySQL y XAMPP); descartada porque es el framework con mas convencion que el equipo tendria que justificar en la sustentacion y ninguno de los tres integrantes lo ha usado. 2) Python 3.12 con FastAPI: descartada porque exige montar a mano las sesiones, el bloqueo por intentos y el aislamiento multi-inquilino. 3) SQL Server como motor: descartada porque Prisma no soporta enums en ese motor, y el modelo usa enumeraciones en los cuatro estados de cartera de RN-12, en el origen del movimiento y en el estado del codigo QR; suma la limitacion de un solo valor nulo por restriccion UNIQUE, que afecta el vinculo vehiculo-cliente con fecha de fin nula. 4) TypeScript: mejor herramienta, descartada porque es un lenguaje mas que aprender sobre React, Express, Prisma y el firmware del lector, y nada de lo prometido lo exige. 5) Better Auth para la autenticacion: descartada porque esta pensada para TypeScript, trae su propio esquema de tablas que habria que conciliar con la tabla de usuarios, y su limitador cuenta peticiones por direccion IP, que no es el bloqueo de cuenta que exige RNF-01. 6) Tailwind CSS: descartada porque no aporta componentes y obligaria a construir desde cero cada tabla, modal y menu de los tres paneles. 7) Vistas renderizadas en el servidor con plantillas: ver ADR-010.</t>
  </si>
  <si>
    <t xml:space="preserve">Cierra el pendiente 3 de la v3.3 y desbloquea la verificacion arquitectonica de P04. Se aparta de los recursos que lista el Acta (MySQL y XAMPP): la desviacion queda justificada aqui, del mismo modo que ADR-009 justifico el lector frente a la exclusion de hardware. Obliga a registrar ADR-010 y a corregir el apartado A.1 de P04. Agrega las historias tecnicas HT-05 a HT-08. Los criterios de verificacion de los RNF no cambian, solo su implementacion: RNF-01 con express-session y bcrypt mas el bloqueo de HU-46, RNF-02 con extensiones de cliente de Prisma que centralizan el filtro por parqueadero_id, y RNF-11 contra un endpoint sin estado. El despliegue es serverless aunque el codigo sea monolitico, de modo que la sesion no puede vivir en memoria del proceso ni la imagen del codigo QR en el sistema de archivos: se genera al vuelo. La metrica MET-03 de la P06 (cobertura de pruebas) solo la produce Vitest, no Postman. La decision se toma sobre planes gratuitos y debe validarse con el instructor antes de iniciar la construccion.</t>
  </si>
  <si>
    <t xml:space="preserve">ADR-009</t>
  </si>
  <si>
    <t xml:space="preserve">Registro de movimientos mediante lector físico de código QR</t>
  </si>
  <si>
    <t xml:space="preserve">Aceptada  (28/08/2026)</t>
  </si>
  <si>
    <t xml:space="preserve">La Formulación del proyecto anuncia en Funciones Generales Incluidas que la entrada y la salida se registran por medio del QR, pero el mismo documento excluye la integración con hardware y declara como limitación que la exactitud del registro depende de que el operario digite la placa. El backlog, el documento de Alcance y las 40 historias recogieron la exclusión y no el QR. La contradicción debía resolverse en un sentido o en el otro antes de modelar los procesos y los diagramas de comportamiento.</t>
  </si>
  <si>
    <t xml:space="preserve">Se incorpora al alcance de la v1 un lector físico propio, construido por el equipo sobre un microcontrolador ESP32 con modulo lector de código QR, que envía la lectura a un endpoint de la API. El lector no decide: identifica al vehículo y el operario confirma la placa antes de cerrar el movimiento (RN-16). Cada vehículo afiliado recibe un código QR portatil que conserva su titular, y el cliente ocasional recibe su tiquete impreso como código QR (RN-17, RN-15). El registro manual permanece habilitado como vía alterna permanente. Se retira en consecuencia la exclusión de integración con hardware del parqueadero.</t>
  </si>
  <si>
    <t xml:space="preserve">Lectura por camara del navegador: descartada porque obliga al operario a manipular un dispositivo personal en cada movimiento y no aporta la agilidad buscada en hora pico. Lector comercial de gama industrial: descartado por costo, contradice la premisa de solución de bajo costo del Acta. Reconocimiento automático de placa por camara: ya estaba descartado por complejidad y sigue diferido a una segunda fase. Mantener solo digitación manual: descartado porque contradice la función anunciada en la Formulación y desaprovecha una mejora real del tiempo de atención.</t>
  </si>
  <si>
    <t xml:space="preserve">Amplia el alcance frente al Acta de Constitución, lo que activa el riesgo de mayor probabilidad e impacto identificado allí; por eso la decisión queda registrada por escrito y con control de cambios en los cuatro artefactos. Agrega RF-21, RF-22, RN-16, RN-17, RNF-11 y las historias HU-41 a HU-45. Obliga a disponer del hardware y a probarlo antes de la sustentación. El riesgo se acota con el registro manual: si el lector no está listo, el producto sigue siendo demostrable en su totalidad.</t>
  </si>
  <si>
    <t xml:space="preserve">ADR-010</t>
  </si>
  <si>
    <t xml:space="preserve">Estilo arquitectonico del producto</t>
  </si>
  <si>
    <t xml:space="preserve">La plantilla P04 contrasta los ocho diagramas de secuencia y de actividades contra una decision ADR-010 que nunca existio en el libro: el estilo se habia conversado en el equipo y no se escribio, el mismo patron que se corrigio con el catalogo de requisitos funcionales en la v3.2. Ademas, la eleccion de React en ADR-008 cambia el estilo respecto de lo que P04 describia, porque el servidor deja de renderizar vistas.</t>
  </si>
  <si>
    <t xml:space="preserve">Monolito modular con cliente desacoplado. El servidor concentra en un solo despliegue y una sola base de codigo las capas de aplicacion (CMP-02), dominio (CMP-03) y persistencia (CMP-04 y CMP-05), con las reglas de negocio unicamente en la capa de dominio y sin saltos de capa: la aplicacion solo habla con el dominio y el dominio solo con la persistencia. La presentacion (CMP-01) se construye como aplicacion de una sola pagina en React, se despliega por separado y se comunica con el servidor exclusivamente por la API HTTP. No hay patron modelo-vista-controlador, porque el servidor no devuelve vistas. El lector de codigo QR (EXT-01) es un participante externo que se comunica unicamente con la capa de aplicacion y se autentica con clave propia de dispositivo (RNF-11).</t>
  </si>
  <si>
    <t xml:space="preserve">1) Microservicios: descartada por complejidad operativa desproporcionada para tres aprendices, un trimestre y un parqueadero de referencia; obligaria a resolver comunicacion entre servicios y consistencia distribuida que el problema no pide. 2) Monolito en capas sin modularizar: descartada por acoplamiento; sin frontera de modulos las reglas de cobro y de cartera terminan repartidas entre pantallas, que es justamente el desorden que el proyecto viene a corregir. 3) Monolito con vistas renderizadas en el servidor y MVC (plantillas EJS o similares): mas simple de construir y el estilo que P04 describia; descartada porque el desarrollador frontend del equipo trabaja con React y porque es la habilidad de mayor valor profesional, y porque el unico riesgo tecnico que traia la SPA (la cookie de sesion entre dos dominios) se neutraliza con la redireccion de /api/*. 4) Backend repartido en funciones independientes sin nucleo monolitico: descartada porque dispersaria las reglas de negocio y haria imposible la verificacion de capas del apartado A.3 de P04.</t>
  </si>
  <si>
    <t xml:space="preserve">Permite verificar el apartado A.3 de P04 contra una decision real y no contra una referencia inexistente. Obliga a corregir en P04 la descripcion de CMP-01, que pasa de vista renderizada a aplicacion cliente, y a retirar la mencion al patron modelo-vista-controlador. La sesion viaja en cookie httpOnly y exige la redireccion de /api/* descrita en ADR-008 para que la cookie sea del mismo sitio. El codigo es monolitico pero el despliegue es serverless, distincion que conviene poder explicar en la sustentacion. Agrega HT-08 y mantiene vigente la disciplina de capas que permitio disenar el comportamiento antes de cerrar ADR-008.</t>
  </si>
  <si>
    <t xml:space="preserve">Fuera de alcance (Won't have)</t>
  </si>
  <si>
    <t xml:space="preserve">Documentar lo que se decidió NO hacer, y por qué, vale tanto como documentar lo que si se hace. Evita que el alcance crezca en mitad del desarrollo, que es el riesgo de mayor probabilidad e impacto del Acta de Constitución.</t>
  </si>
  <si>
    <t xml:space="preserve">Elemento</t>
  </si>
  <si>
    <t xml:space="preserve">Por qué se deja fuera</t>
  </si>
  <si>
    <t xml:space="preserve">Que haría falta para incluirlo</t>
  </si>
  <si>
    <t xml:space="preserve">Aviso automático de vencimiento de mensualidad</t>
  </si>
  <si>
    <t xml:space="preserve">Won't (v1)</t>
  </si>
  <si>
    <t xml:space="preserve">Exige un proceso programado que corra por fuera de la aplicación evaluando a diario los vencimientos de todas las afiliaciones. La información sigue disponible sin ese proceso: el cliente ve su fecha de vencimiento en RF-15 y el administrador ve el estado Por vencer en RF-14.</t>
  </si>
  <si>
    <t xml:space="preserve">Un planificador de tareas en el servidor. La lógica de estados (RN-12) ya quedaría hecha.</t>
  </si>
  <si>
    <t xml:space="preserve">Decisión del equipo, 14/08/2026</t>
  </si>
  <si>
    <t xml:space="preserve">Pago en línea del cliente</t>
  </si>
  <si>
    <t xml:space="preserve">Requiere pasarela de pagos y conciliación. En la v1 el pago es presencial y lo registra el administrador.</t>
  </si>
  <si>
    <t xml:space="preserve">Integración con una pasarela y un proceso de conciliación.</t>
  </si>
  <si>
    <t xml:space="preserve">Acta de Constitución, Exclusiones</t>
  </si>
  <si>
    <t xml:space="preserve">Facturación electronica</t>
  </si>
  <si>
    <t xml:space="preserve">Exige habilitación ante la DIAN y cumplimiento de un estándar técnico y tributario que excede el alcance academico.</t>
  </si>
  <si>
    <t xml:space="preserve">Habilitación como facturador electronico e integración con un proveedor tecnológico.</t>
  </si>
  <si>
    <t xml:space="preserve">Lectura automática de placa por camara</t>
  </si>
  <si>
    <t xml:space="preserve">Requiere hardware y visión por computador; excede el alcance y el presupuesto. El Acta la difiere expresamente a una segunda fase.</t>
  </si>
  <si>
    <t xml:space="preserve">Camaras, un modelo de reconocimiento y un proceso de validación manual de respaldo.</t>
  </si>
  <si>
    <t xml:space="preserve">Aplicación móvil nativa</t>
  </si>
  <si>
    <t xml:space="preserve">La plataforma es web responsiva. Una app nativa duplica el esfuerzo de desarrollo del equipo.</t>
  </si>
  <si>
    <t xml:space="preserve">Un desarrollo móvil aparte, o empaquetar la web existente.</t>
  </si>
  <si>
    <t xml:space="preserve">Modulos de nómina, contabilidad o gestión del personal</t>
  </si>
  <si>
    <t xml:space="preserve">Son sistemas distintos con su propia normatividad. El sistema administra la operación del parqueadero, no la empresa.</t>
  </si>
  <si>
    <t xml:space="preserve">Fuera del alcance academico.</t>
  </si>
  <si>
    <t xml:space="preserve">Seguridad física y custodia de los vehículos</t>
  </si>
  <si>
    <t xml:space="preserve">Won't (siempre)</t>
  </si>
  <si>
    <t xml:space="preserve">No es una exclusión de versión sino una frontera permanente del producto: el sistema entrega trazabilidad administrativa de la operación, no custodia. Es el riesgo de expectativa más importante identificado en el documento de Stakeholders (STK-01, impacto alto) y debe declararse por escrito ante el cliente.</t>
  </si>
  <si>
    <t xml:space="preserve">No aplica. Debe quedar explicito en los términos y condiciones del sistema.</t>
  </si>
  <si>
    <t xml:space="preserve">Stakeholders, Riesgos STK-01</t>
  </si>
  <si>
    <t xml:space="preserve">Cobro de suscripción a los administradores</t>
  </si>
  <si>
    <t xml:space="preserve">Convierte el proyecto en un producto comercial y agrega pasarela de pagos, facturación e impuestos.</t>
  </si>
  <si>
    <t xml:space="preserve">Backlog v2</t>
  </si>
  <si>
    <t xml:space="preserve">Verificación de identidad del negocio al registrar un parqueadero</t>
  </si>
  <si>
    <t xml:space="preserve">El parqueadero nace del registro del administrador (RF-01) sin comprobar que el negocio exista ni que quién lo registra sea su propietario.</t>
  </si>
  <si>
    <t xml:space="preserve">Un proceso de validación documental y un estado de parqueadero pendiente de aprobación.</t>
  </si>
  <si>
    <t xml:space="preserve">Panel de superadministrador y reportes entre parqueaderos</t>
  </si>
  <si>
    <t xml:space="preserve">Contradice el aislamiento exigido por RNF-02 y no aporta valor al usuario objetivo.</t>
  </si>
  <si>
    <t xml:space="preserve">Un modelo de permisos por encima del inquilino y una revisión completa de RNF-02.</t>
  </si>
  <si>
    <t xml:space="preserve">Marca o dominio propio por parqueadero</t>
  </si>
  <si>
    <t xml:space="preserve">Es personalización visual, no capacidad de negocio.</t>
  </si>
  <si>
    <t xml:space="preserve">Un modulo de personalización visual por parqueadero y, para el dominio, la gestión de certificados y de registros DNS.</t>
  </si>
  <si>
    <t xml:space="preserve">Reserva anticipada de celda</t>
  </si>
  <si>
    <t xml:space="preserve">Es un producto distinto (marketplace) y no fue parte de la necesidad identificada en el Acta.</t>
  </si>
  <si>
    <t xml:space="preserve">Candidato para una versión futura.</t>
  </si>
  <si>
    <t xml:space="preserve">El rol de operario SALIO de esta hoja en la v3.0: entra a la primera versión. Ver ADR-005.</t>
  </si>
  <si>
    <t xml:space="preserve">La integración con hardware del parqueadero SALIO de esta hoja en la v3.2: el lector de código QR entra a la primera versión. Ver ADR-009. Continuan fuera de alcance las talanqueras, los sensores de celda y la lectura automática de placa por camara.</t>
  </si>
  <si>
    <t xml:space="preserve">Control de cambios v2 -&gt; v3.0</t>
  </si>
  <si>
    <t xml:space="preserve">Cambios aplicados el 14 de agosto de 2026 tras contrastar el backlog contra el Acta de Constitución (05/08/2026), el documento de Stakeholders v2 (12/08/2026) y el Análisis de Seguridad en la Implantación de Software.</t>
  </si>
  <si>
    <t xml:space="preserve">Que cambio</t>
  </si>
  <si>
    <t xml:space="preserve">Como estaba en la v2</t>
  </si>
  <si>
    <t xml:space="preserve">Como quedo en la v3 y por qué</t>
  </si>
  <si>
    <t xml:space="preserve">Impacto en el libro</t>
  </si>
  <si>
    <t xml:space="preserve">1</t>
  </si>
  <si>
    <t xml:space="preserve">Nombre del proyecto y ficha</t>
  </si>
  <si>
    <t xml:space="preserve">El libro se titulaba UrbanSpot y el encabezado citaba la ficha 228118 y las evidencias EV02 y EV03 de un proyecto formativo.</t>
  </si>
  <si>
    <t xml:space="preserve">APAR-CAR, ficha 3229209, proyecto de grado. Los documentos oficiales ya usaban el nombre APAR-CAR; el backlog había quedado con el nombre de trabajo anterior.</t>
  </si>
  <si>
    <t xml:space="preserve">Hojas Leeme, Resumen e Historias</t>
  </si>
  <si>
    <t xml:space="preserve">2</t>
  </si>
  <si>
    <t xml:space="preserve">Declarado Won't (v1) en la hoja Fuera de alcance, con el argumento de que multiplicaba los casos de permisos.</t>
  </si>
  <si>
    <t xml:space="preserve">Entra a la primera versión. El Acta lo promete en el objetivo general, en el objetivo específico 2 y en el Entregable 5, y Stakeholders lo clasifica como STK-02 usuario clave. Mantenerlo fuera era una contradicción entre entregables. Ver ADR-005.</t>
  </si>
  <si>
    <t xml:space="preserve">Actores, EP-01, EP-04, HU-03, HU-19 a HU-23, HU-38, HU-39, RNF-03, Fuera de alcance</t>
  </si>
  <si>
    <t xml:space="preserve">3</t>
  </si>
  <si>
    <t xml:space="preserve">Consulta de tiquete del cliente ocasional</t>
  </si>
  <si>
    <t xml:space="preserve">El visitante ocasional era un actor pasivo: entraba y salia sin ninguna forma de consultar nada.</t>
  </si>
  <si>
    <t xml:space="preserve">Puede consultar su tiquete abierto con un código entregado a la entrada, nunca con la placa, porque RN-06 establece que la placa identifica pero no autentica. Responde a la necesidad de STK-04.</t>
  </si>
  <si>
    <t xml:space="preserve">HU-20, HU-40, RN-15, NEC-09</t>
  </si>
  <si>
    <t xml:space="preserve">4</t>
  </si>
  <si>
    <t xml:space="preserve">Regla de cálculo del cobro (RN-14)</t>
  </si>
  <si>
    <t xml:space="preserve">Redondeo de la fracción a la hora superior y tarifa día a partir de un umbral fijo de 12 horas. Sin regla para estadías de varios días.</t>
  </si>
  <si>
    <t xml:space="preserve">Cobro proporcional por bloques de 24 horas, cobrando por bloque el menor entre el proporcional y la tarifa día, con mínimo de una hora. El umbral fijo cobraba por encima de la tarifa día entre el punto de equilibrio real y las 12 horas. Ver ADR-006.</t>
  </si>
  <si>
    <t xml:space="preserve">RN-14, HU-21, ADR-006</t>
  </si>
  <si>
    <t xml:space="preserve">5</t>
  </si>
  <si>
    <t xml:space="preserve">Derecho de supresión de datos (HU-37)</t>
  </si>
  <si>
    <t xml:space="preserve">Historia marcada como no estimable: el alcance legal de la anonimización estaba sin confirmar y chocaba con la inmutabilidad de los registros de dinero de RN-13.</t>
  </si>
  <si>
    <t xml:space="preserve">Dos estados: inhabilitación mientras exista deber contractual vigente, y anonimización cuando termine. Amparado en el Decreto 1377 de 2013, que excluye la supresión cuando el titular tiene un deber legal o contractual de permanecer en la base de datos. Ver ADR-007.</t>
  </si>
  <si>
    <t xml:space="preserve">HU-37, RN-08, RNF-05, ADR-007, INVEST</t>
  </si>
  <si>
    <t xml:space="preserve">6</t>
  </si>
  <si>
    <t xml:space="preserve">División de HU-12</t>
  </si>
  <si>
    <t xml:space="preserve">Una sola historia de 8 puntos que mezclaba registrar al cliente con generar el código de vinculación. Marcada Revisar en el criterio Small de INVEST.</t>
  </si>
  <si>
    <t xml:space="preserve">Dividida en HU-12a (registrar cliente y vehículo, 5 puntos) y HU-12b (generar código, 3 puntos). Cada mitad se entrega y se prueba por separado.</t>
  </si>
  <si>
    <t xml:space="preserve">HU-12a, HU-12b, INVEST, dependencias de HU-13 a HU-17</t>
  </si>
  <si>
    <t xml:space="preserve">7</t>
  </si>
  <si>
    <t xml:space="preserve">HU-21 se mantiene unida</t>
  </si>
  <si>
    <t xml:space="preserve">Marcada Revisar en Small por sus 8 puntos, sin decisión registrada.</t>
  </si>
  <si>
    <t xml:space="preserve">Se mantiene unida por decisión del equipo, con la justificación escrita en INVEST: dividirla dejaría una primera mitad que libera la celda sin cobrar nada, lo cual no es un incremento entregable.</t>
  </si>
  <si>
    <t xml:space="preserve">8</t>
  </si>
  <si>
    <t xml:space="preserve">Aviso de vencimiento (antigua HU-31)</t>
  </si>
  <si>
    <t xml:space="preserve">Historia Could de 8 puntos, marcada Revisar en dos criterios INVEST por depender de un proceso programado.</t>
  </si>
  <si>
    <t xml:space="preserve">Retirada del alcance. La información sigue disponible en HU-25 y HU-29 sin necesidad de infraestructura adicional.</t>
  </si>
  <si>
    <t xml:space="preserve">Fuera de alcance, RN-12, HU-25, HU-29, NEC-04</t>
  </si>
  <si>
    <t xml:space="preserve">9</t>
  </si>
  <si>
    <t xml:space="preserve">Supuestos y decisiones abiertas</t>
  </si>
  <si>
    <t xml:space="preserve">Dos supuestos por confirmar (SUP-01 celdas, SUP-02 mensualidad) y dos ADR en estado Propuesta - CONFIRMAR.</t>
  </si>
  <si>
    <t xml:space="preserve">Eliminados. ADR-003 queda confirmada por el Acta de Constitución y ADR-004 por decisión del equipo. No queda ninguna decisión abierta en el backlog.</t>
  </si>
  <si>
    <t xml:space="preserve">Leeme, ADR-003, ADR-004, RN-11</t>
  </si>
  <si>
    <t xml:space="preserve">10</t>
  </si>
  <si>
    <t xml:space="preserve">Parametros sin aprobar</t>
  </si>
  <si>
    <t xml:space="preserve">El código de vinculación vencia a los 7 días y el estado Por vencer se activaba a los 5 días, ambos escritos como valor por defecto.</t>
  </si>
  <si>
    <t xml:space="preserve">Confirmados por el equipo: 7 días para el código y 3 días para el estado Por vencer.</t>
  </si>
  <si>
    <t xml:space="preserve">RN-05, RN-12</t>
  </si>
  <si>
    <t xml:space="preserve">11</t>
  </si>
  <si>
    <t xml:space="preserve">Requisito de código fuente (RNF-10)</t>
  </si>
  <si>
    <t xml:space="preserve">El riesgo R3 del Análisis de Seguridad (filtración del código fuente) no estaba cubierto por ningún requisito verificable.</t>
  </si>
  <si>
    <t xml:space="preserve">Se agrega RNF-10: repositorio privado, sin credenciales versionadas, configuración sensible por variables de entorno y revisión del historial antes de cada entrega.</t>
  </si>
  <si>
    <t xml:space="preserve">RNF-10, NEC-10</t>
  </si>
  <si>
    <t xml:space="preserve">12</t>
  </si>
  <si>
    <t xml:space="preserve">Trazabilidad con los demás entregables</t>
  </si>
  <si>
    <t xml:space="preserve">La matriz solo citaba la descripción del proyecto como origen y no se conectaba con el Acta ni con Stakeholders.</t>
  </si>
  <si>
    <t xml:space="preserve">Cada necesidad cita su apartado de origen en el Acta o en Stakeholders y su STK responsable; cada historia lleva su stakeholder; cada RNF lleva el riesgo del Análisis de Seguridad que mitiga. Se agregan NEC-08 a NEC-12, con lo cual toda historia del backlog queda trazada a una necesidad de negocio.</t>
  </si>
  <si>
    <t xml:space="preserve">Trazabilidad, Historias, RNF, Actores</t>
  </si>
  <si>
    <t xml:space="preserve">CORRECCIONES PENDIENTES EN LOS DEMÁS ENTREGABLES</t>
  </si>
  <si>
    <t xml:space="preserve">Documento</t>
  </si>
  <si>
    <t xml:space="preserve">Que dice hoy</t>
  </si>
  <si>
    <t xml:space="preserve">Que debería decir</t>
  </si>
  <si>
    <t xml:space="preserve">Por qué importa</t>
  </si>
  <si>
    <t xml:space="preserve">Acta de Constitución APAR-CAR</t>
  </si>
  <si>
    <t xml:space="preserve">Portada: Ficha 32292909 (ocho dígitos).</t>
  </si>
  <si>
    <t xml:space="preserve">Ficha 3229209 (siete dígitos).</t>
  </si>
  <si>
    <t xml:space="preserve">Dato de identificación del proyecto en la portada de un entregable evaluado.</t>
  </si>
  <si>
    <t xml:space="preserve">Stakeholders APAR-CAR v2</t>
  </si>
  <si>
    <t xml:space="preserve">Mismo error replicado. Debe corregirse en los dos documentos a la vez.</t>
  </si>
  <si>
    <t xml:space="preserve">Análisis de Seguridad</t>
  </si>
  <si>
    <t xml:space="preserve">Introducción: tiene roles distintos (administrador y cliente).</t>
  </si>
  <si>
    <t xml:space="preserve">Tiene tres roles distintos: administrador, operario y cliente.</t>
  </si>
  <si>
    <t xml:space="preserve">Contradice el Acta y el documento de Stakeholders. Es el riesgo STK-06, incoherencia entre entregables, calificado de impacto alto.</t>
  </si>
  <si>
    <t xml:space="preserve">Riesgo R4 descrito solo como un cliente que escala privilegios de administrador.</t>
  </si>
  <si>
    <t xml:space="preserve">Incluir el escenario más probable con tres roles: un operario que accede a tarifas, cartera o reportes alterando la petición.</t>
  </si>
  <si>
    <t xml:space="preserve">Alinea el análisis de riesgos con el modelo de permisos real y con el criterio de verificación de RNF-03.</t>
  </si>
  <si>
    <t xml:space="preserve">Acta de Constitución, Tabla 1</t>
  </si>
  <si>
    <t xml:space="preserve">Entregable 2: Documento de requerimientos.</t>
  </si>
  <si>
    <t xml:space="preserve">Referenciar este libro como la versión vigente del entregable (backlog v3.0, 14/08/2026).</t>
  </si>
  <si>
    <t xml:space="preserve">Cierra la cadena de trazabilidad entre el Acta y el backlog.</t>
  </si>
  <si>
    <t xml:space="preserve">13</t>
  </si>
  <si>
    <t xml:space="preserve">Revisión de la priorización MoSCoW</t>
  </si>
  <si>
    <t xml:space="preserve">El 62,5 % de los puntos estaba clasificado como Must have.</t>
  </si>
  <si>
    <t xml:space="preserve">HU-23 (consultar vehículos adentro) y HU-32 (reporte de ingresos) pasan a Should have. El MVP queda en 92 de 160 puntos, es decir 57,5 %. La plantilla P02 del proyecto formativo establece que por encima del 60 % la priorización debe revisarse, y el análisis confirmo que ninguna de las dos historias bloquea la primera versión.</t>
  </si>
  <si>
    <t xml:space="preserve">Historias de Usuario, Resumen, P01, P02</t>
  </si>
  <si>
    <t xml:space="preserve">Control de cambios v3.1 -&gt; v3.2</t>
  </si>
  <si>
    <t xml:space="preserve">Cambios aplicados el 28 de agosto de 2026 tras revisar la coherencia entre el backlog, la Formulación y Constitución, la Gestión de Interesados, el documento de Alcance y Especificación de Requisitos y los anexos de la plantilla P01.</t>
  </si>
  <si>
    <t xml:space="preserve">Como estaba en la v3.1</t>
  </si>
  <si>
    <t xml:space="preserve">Como quedo en la v3.2 y por qué</t>
  </si>
  <si>
    <t xml:space="preserve">Catálogo de requisitos funcionales</t>
  </si>
  <si>
    <t xml:space="preserve">El libro no tenía hoja de requisitos funcionales. Los RF-01 a RF-20 existían únicamente en el Anexo A de la plantilla P01, y el documento de Alcance los citaba como catálogo del proyecto sin que estuviera en la fuente de verdad.</t>
  </si>
  <si>
    <t xml:space="preserve">Se incorpora la hoja Requisitos Funcionales con los 20 requisitos del Anexo A, cada uno con su origen, su épica y las historias que lo implementan. La fuente de verdad vuelve a contener todos los catálogos.</t>
  </si>
  <si>
    <t xml:space="preserve">Hoja nueva Requisitos Funcionales, Resumen, Leeme</t>
  </si>
  <si>
    <t xml:space="preserve">Registro de movimientos por código QR</t>
  </si>
  <si>
    <t xml:space="preserve">La Formulación anunciaba el registro de entrada y salida por medio del QR, pero el mismo documento excluía la integración con hardware y declaraba la digitación manual como limitación. El backlog recogia solo la exclusión: ninguna historia, regla ni ADR mencionaba el QR.</t>
  </si>
  <si>
    <t xml:space="preserve">Se resuelve la contradicción a favor del QR. Se adopta un lector físico propio sobre ESP32 que envía la lectura a la API, con confirmación del operario y registro manual como vía alterna permanente. Queda registrado en ADR-009.</t>
  </si>
  <si>
    <t xml:space="preserve">ADR-009, RF-21, RF-22, RN-15, RN-16, RN-17, RNF-11, HU-41 a HU-45, Fuera de alcance, Trazabilidad</t>
  </si>
  <si>
    <t xml:space="preserve">Exclusión de integración con hardware</t>
  </si>
  <si>
    <t xml:space="preserve">La hoja Fuera de alcance declaraba Won't (v1) la integración con hardware del parqueadero, citando como origen las exclusiones del Acta de Constitución.</t>
  </si>
  <si>
    <t xml:space="preserve">Se retira la fila. Continuan fuera de alcance las talanqueras, los sensores de celda y la lectura automática de placa por camara. La ampliación queda justificada por escrito, como exige la mitigación del riesgo de alcance del Acta.</t>
  </si>
  <si>
    <t xml:space="preserve">Fuera de alcance, ADR-009</t>
  </si>
  <si>
    <t xml:space="preserve">Vocabulario de roles, actores e interesados</t>
  </si>
  <si>
    <t xml:space="preserve">La hoja Resumen contaba 4 roles incluyendo Persona nueva y sin el cliente ocasional, mientras la Formulación y el documento de Alcance contaban 4 perfiles de usuario con el ocasional y sin Persona nueva. Ambos decían cuatro y no hablaban de lo mismo.</t>
  </si>
  <si>
    <t xml:space="preserve">Se separan tres categorías: 3 roles con credenciales, 5 actores del sistema y 6 interesados del proyecto. La hoja Actores gana una columna Tipo que lo hace explicito. Coincide con lo que ya decía ADR-005.</t>
  </si>
  <si>
    <t xml:space="preserve">Actores, Resumen, Leeme</t>
  </si>
  <si>
    <t xml:space="preserve">Denominación del cliente afiliado</t>
  </si>
  <si>
    <t xml:space="preserve">La hoja Historias de Usuario usaba Cliente a secas en la columna Rol principal, termino que se confunde con el cliente ocasional.</t>
  </si>
  <si>
    <t xml:space="preserve">Se unifica en Cliente afiliado en todo el libro, igual que en la Formulación y en el documento de Alcance.</t>
  </si>
  <si>
    <t xml:space="preserve">Historias de Usuario, Actores</t>
  </si>
  <si>
    <t xml:space="preserve">Versión y fecha del libro</t>
  </si>
  <si>
    <t xml:space="preserve">La portada y la hoja Leeme se identificaban como v3.0 y con fecha del 14 de agosto de 2026, aunque el archivo circulaba como v3.1.</t>
  </si>
  <si>
    <t xml:space="preserve">Se actualizan a v3.2 con fecha del 28 de agosto de 2026 en Leeme, Resumen e Historias de Usuario.</t>
  </si>
  <si>
    <t xml:space="preserve">Leeme, Resumen, Historias de Usuario</t>
  </si>
  <si>
    <t xml:space="preserve">Etiqueta de ADR-005 en la hoja Leeme</t>
  </si>
  <si>
    <t xml:space="preserve">La hoja Leeme titulaba ADR-005 como Roles del sistema, mientras la hoja de decisiones lo define como Inclusión del rol operario en la primera versión.</t>
  </si>
  <si>
    <t xml:space="preserve">Se corrige el texto de Leeme para que cite la decisión tal como está registrada y para que enuncie los tres roles y los dos actores sin rol.</t>
  </si>
  <si>
    <t xml:space="preserve">Leeme</t>
  </si>
  <si>
    <t xml:space="preserve">Atribución de NEC-06 en la matriz de trazabilidad</t>
  </si>
  <si>
    <t xml:space="preserve">La necesidad de aislamiento entre parqueaderos se atribuía a STK-01 y STK-05. El equipo de desarrollo no es titular de esa necesidad de negocio: la implementa.</t>
  </si>
  <si>
    <t xml:space="preserve">Queda atribuida únicamente a STK-01, el administrador del parqueadero.</t>
  </si>
  <si>
    <t xml:space="preserve">Ficha del proyecto en los entregables</t>
  </si>
  <si>
    <t xml:space="preserve">Las correcciones pendientes 1 y 2 de la v3.0 pedían corregir la ficha en el Acta de Constitución y en el documento de Stakeholders.</t>
  </si>
  <si>
    <t xml:space="preserve">Verificado el 28/08/2026: los tres documentos publicados (Formulación, Gestión de Interesados y Alcance y Requisitos) ya citan la ficha 3229209. Los dos pendientes se cierran.</t>
  </si>
  <si>
    <t xml:space="preserve">Correcciones pendientes</t>
  </si>
  <si>
    <t xml:space="preserve">PENDIENTES ABIERTOS AL CIERRE DE LA v3.2</t>
  </si>
  <si>
    <t xml:space="preserve">Que queda desalineado</t>
  </si>
  <si>
    <t xml:space="preserve">Que hay que hacer</t>
  </si>
  <si>
    <t xml:space="preserve">P01 Historias de Usuario, Anexos A, B y C</t>
  </si>
  <si>
    <t xml:space="preserve">El Anexo A no incluye RF-21 ni RF-22. Los Anexos B y C reproducen la versión v3.0 de las reglas y de los requisitos no funcionales: RN-11 se contradice a si misma, RN-14 no resuelve la mora, RN-15 dice cada entrada, RN-05 no trae el bloqueo por intentos y RNF-01, RNF-06 y RNF-08 carecen de cifras verificables. No están RN-16, RN-17 ni RNF-11.</t>
  </si>
  <si>
    <t xml:space="preserve">Regenerar el documento P01 completo desde este libro: los tres anexos y las fichas de las historias HU-41 a HU-45.</t>
  </si>
  <si>
    <t xml:space="preserve">Aplazado por decisión del equipo el 28/08/2026. Los cuatro artefactos del proyecto se generan del mismo contenido y no pueden divergir; mientras no se regenere, el P01 es una copia atrasada y así queda declarado.</t>
  </si>
  <si>
    <t xml:space="preserve">P02 Backlog estimado</t>
  </si>
  <si>
    <t xml:space="preserve">No incluye las historias HU-41 a HU-45 ni sus puntos en las hojas Backlog, Poker, Iteraciones y Resumen.</t>
  </si>
  <si>
    <t xml:space="preserve">Regenerar desde este libro y registrar la fecha real de la sesión de Planning Poker.</t>
  </si>
  <si>
    <t xml:space="preserve">Los totales de puntos y el porcentaje de Must cambian con las historias nuevas.</t>
  </si>
  <si>
    <t xml:space="preserve">Formulación y Constitución del Proyecto</t>
  </si>
  <si>
    <t xml:space="preserve">Excluye la integración con hardware y declara como limitación que no se contempla lectura automática, en contradicción con su propia sección de Funciones Generales Incluidas.</t>
  </si>
  <si>
    <t xml:space="preserve">Retirar la exclusión de lectores, reescribir la limitación de digitación y agregar tabla de identificación y control de cambios.</t>
  </si>
  <si>
    <t xml:space="preserve">Es el documento de origen de la exclusión que ADR-009 retira.</t>
  </si>
  <si>
    <t xml:space="preserve">Alcance y Especificación de Requisitos</t>
  </si>
  <si>
    <t xml:space="preserve">Excluye los lectores automáticos, declara MySQL y XAMPP como restricción, y enuncia RNF-01 y RNF-08 sin cifras verificables. RN-14 omite la clausula de mora que sus propios criterios de RF-12 aplican.</t>
  </si>
  <si>
    <t xml:space="preserve">Alinear alcance, exclusiones, restricciones, RNF y RN-14 con este libro.</t>
  </si>
  <si>
    <t xml:space="preserve">Un requisito no funcional sin cifra no es verificable, que es el criterio que el propio documento declara.</t>
  </si>
  <si>
    <t xml:space="preserve">Dice roles distintos (administrador y cliente) y describe R4 solo como escalamiento de un cliente.</t>
  </si>
  <si>
    <t xml:space="preserve">Corregir a tres roles e incluir en R4 el escenario del operario que accede a tarifas, cartera o reportes.</t>
  </si>
  <si>
    <t xml:space="preserve">Pendiente heredado de la v3.0, sin resolver.</t>
  </si>
  <si>
    <t xml:space="preserve">ADR-008 - stack tecnológico</t>
  </si>
  <si>
    <t xml:space="preserve">Sin decidir el lenguaje de servidor ni el framework.</t>
  </si>
  <si>
    <t xml:space="preserve">Decidir en la fase de Diseño y arquitectura. Confirmado el 28/08/2026 que el stack es un recurso disponible y no una restricción del proyecto.</t>
  </si>
  <si>
    <t xml:space="preserve">Condiciona los diagramas de secuencia y el contrato de la API.</t>
  </si>
  <si>
    <t xml:space="preserve">Sin registrar cual se consiguió ni cuando se hizo la entrevista.</t>
  </si>
  <si>
    <t xml:space="preserve">Registrar el establecimiento y la fecha de la entrevista.</t>
  </si>
  <si>
    <t xml:space="preserve">Es el supuesto del que dependen las reglas de cobro y de cartera, y los tiempos del flujo actual que pide la plantilla P03.</t>
  </si>
  <si>
    <t xml:space="preserve">Hardware del lector QR</t>
  </si>
  <si>
    <t xml:space="preserve">El equipo aún no dispone del ESP32 ni del modulo lector.</t>
  </si>
  <si>
    <t xml:space="preserve">Conseguir el hardware y probar la lectura contra la API antes de la sustentación.</t>
  </si>
  <si>
    <t xml:space="preserve">Riesgo acotado por HU-45: si el lector no está listo, el producto sigue siendo demostrable con registro manual.</t>
  </si>
  <si>
    <t xml:space="preserve">Control de cambios v3.2 -&gt; v3.3</t>
  </si>
  <si>
    <t xml:space="preserve">Cambios aplicados el 9 de septiembre de 2026 al elaborar el documento de Backlog, Historias de Usuario y Casos de Uso (v2.0) y el documento de Casos de Uso y Escenarios (v1.1). El libro había quedado por detras de los documentos: esta versión lo vuelve a poner al frente.</t>
  </si>
  <si>
    <t xml:space="preserve">Como estaba en la v3.2</t>
  </si>
  <si>
    <t xml:space="preserve">Como quedo en la v3.3 y por que</t>
  </si>
  <si>
    <t xml:space="preserve">La numeración de las decisiones saltaba de ADR-007 a ADR-009. La hoja Resumen contaba 8 decisiones y la nota afirmaba que todas estaban Aceptadas, cifra que cuadraba por coincidencia.</t>
  </si>
  <si>
    <t xml:space="preserve">Se crea la decisión en estado Propuesta, con contexto, alternativas descartadas, criterios de cierre y consecuencias. Declararla abierta es preferible a resolverla sin análisis: una elección sin alternativas evaluadas no es un ADR sino una nota.</t>
  </si>
  <si>
    <t xml:space="preserve">Decisiones (ADR), Resumen, Leeme, Control de cambios</t>
  </si>
  <si>
    <t xml:space="preserve">SUP-03 - presencia de operario</t>
  </si>
  <si>
    <t xml:space="preserve">El supuesto no existia en el libro. La épica EP-04, la de mayor esfuerzo con 42 puntos, descansaba sobre un acuerdo verbal con el administrador del parqueadero de referencia.</t>
  </si>
  <si>
    <t xml:space="preserve">Se crea la hoja Supuestos y se registra SUP-03 con lo que depende de el y lo que ocurre si no se cumple. El levantamiento del proceso real mostro que hoy el acceso no tiene cobertura permanente.</t>
  </si>
  <si>
    <t xml:space="preserve">Hoja nueva Supuestos, Resumen, Leeme</t>
  </si>
  <si>
    <t xml:space="preserve">Notas de contexto en ADR-004 y ADR-006</t>
  </si>
  <si>
    <t xml:space="preserve">Ambas decisiones se leian como si derivaran de la operación del parqueadero de referencia.</t>
  </si>
  <si>
    <t xml:space="preserve">Se agrega a las dos una nota que aclara que fueron definidas sobre el caso general del segmento: el parqueadero de referencia trabaja con fecha fija de pago dentro del mes y con valor discrecional para el visitante ocasional. La diferencia es deliberada y busca la replicabilidad.</t>
  </si>
  <si>
    <t xml:space="preserve">Historias técnicas HT-01 a HT-04</t>
  </si>
  <si>
    <t xml:space="preserve">El libro registraba decisiones de arquitectura pero no el trabajo que esas decisiones obligan a ejecutar.</t>
  </si>
  <si>
    <t xml:space="preserve">Se crea la hoja Historias Técnicas con cuatro elementos, cada uno amarrado al ADR que lo justifica. Ninguno nombra lenguaje ni framework, porque ADR-008 sigue en Propuesta.</t>
  </si>
  <si>
    <t xml:space="preserve">Hoja nueva Historias Técnicas, Resumen, Leeme</t>
  </si>
  <si>
    <t xml:space="preserve">Casos de uso CU-01 a CU-06</t>
  </si>
  <si>
    <t xml:space="preserve">El libro no tenía registro de casos de uso. Los tres primeros existían solo en el documento de la guía 4.</t>
  </si>
  <si>
    <t xml:space="preserve">Se crea la hoja Casos de Uso con seis casos y su justificación de selección. Los tres iniciales se concentraban en la operación de porteria y ninguno describia el proceso de cartera, que el propio análisis AS-IS había identificado como el problema central del negocio.</t>
  </si>
  <si>
    <t xml:space="preserve">Hoja nueva Casos de Uso, Resumen, Leeme</t>
  </si>
  <si>
    <t xml:space="preserve">Tildes en todo el libro</t>
  </si>
  <si>
    <t xml:space="preserve">El texto de todas las hojas estaba escrito sin tildes ni enes: registrar la ocupación, el vehículo está adentro, cambio de dueño.</t>
  </si>
  <si>
    <t xml:space="preserve">Se restauran las tildes y las enes en las celdas de texto de las trece hojas originales. Los documentos publicados ya salian corregidos; el libro no.</t>
  </si>
  <si>
    <t xml:space="preserve">Todas las hojas</t>
  </si>
  <si>
    <t xml:space="preserve">La portada y la hoja Leeme se identificaban como v3.2 con fecha del 28 de agosto de 2026.</t>
  </si>
  <si>
    <t xml:space="preserve">Se actualizan a v3.3 con fecha del 9 de septiembre de 2026.</t>
  </si>
  <si>
    <t xml:space="preserve">Leeme, Resumen</t>
  </si>
  <si>
    <t xml:space="preserve">Ficha del proyecto</t>
  </si>
  <si>
    <t xml:space="preserve">La hoja Leeme citaba la ficha 32292909.</t>
  </si>
  <si>
    <t xml:space="preserve">Corregida a 3229209 en todo el libro.</t>
  </si>
  <si>
    <t xml:space="preserve">PENDIENTES ABIERTOS AL CIERRE DE LA v3.3</t>
  </si>
  <si>
    <t xml:space="preserve">Documento o elemento</t>
  </si>
  <si>
    <t xml:space="preserve">Por que importa</t>
  </si>
  <si>
    <t xml:space="preserve">Acta de Constitución y documento de Stakeholders</t>
  </si>
  <si>
    <t xml:space="preserve">Las portadas citan un número de ficha distinto de 3229209.</t>
  </si>
  <si>
    <t xml:space="preserve">Corregir la portada de los dos documentos.</t>
  </si>
  <si>
    <t xml:space="preserve">Es el dato que identifica al equipo ante la institución.</t>
  </si>
  <si>
    <t xml:space="preserve">Habla de roles distintos (administrador y cliente) y describe R4 sin considerar al operario.</t>
  </si>
  <si>
    <t xml:space="preserve">Pendiente heredado de la v3.0. Los RNF citan sus riesgos, de modo que la inconsistencia se propaga.</t>
  </si>
  <si>
    <t xml:space="preserve">Registrada, pero en estado Propuesta.</t>
  </si>
  <si>
    <t xml:space="preserve">Cerrar la decisión en la fase de Diseño y arquitectura, con las alternativas evaluadas por escrito.</t>
  </si>
  <si>
    <t xml:space="preserve">Condiciona los diagramas de secuencia, el contrato de la API y las historias técnicas.</t>
  </si>
  <si>
    <t xml:space="preserve">Estimación de HT-01 a HT-04</t>
  </si>
  <si>
    <t xml:space="preserve">Las cuatro historias técnicas entran sin puntos.</t>
  </si>
  <si>
    <t xml:space="preserve">Estimarlas en la sesión de planificación junto con las historias de usuario.</t>
  </si>
  <si>
    <t xml:space="preserve">El total de puntos del proyecto queda incompleto mientras falten.</t>
  </si>
  <si>
    <t xml:space="preserve">La ultima columna de la hoja Trazabilidad sigue en Por definir.</t>
  </si>
  <si>
    <t xml:space="preserve">Completar en la fase de Pruebas y ajustes, del 1 al 22 de diciembre de 2026. Los 21 escenarios ya están redactados en un formato convertible a casos de prueba.</t>
  </si>
  <si>
    <t xml:space="preserve">Cierra la cadena Necesidad, Requisito, Historia, Caso de uso, Escenario, Prueba.</t>
  </si>
  <si>
    <t xml:space="preserve">Caso de uso del derecho de supresión</t>
  </si>
  <si>
    <t xml:space="preserve">Cumple los criterios de selección pero no se específico.</t>
  </si>
  <si>
    <t xml:space="preserve">Decidir si se incorpora como CU-07.</t>
  </si>
  <si>
    <t xml:space="preserve">Es el único flujo del sistema con consecuencia legal directa. ADR-007 pidio validación del instructor.</t>
  </si>
  <si>
    <t xml:space="preserve">Sigue sin registrarse el establecimiento y la fecha de la entrevista.</t>
  </si>
  <si>
    <t xml:space="preserve">Registrar el nombre y la fecha. El proceso actual ya quedo levantado y documentado en el AS-IS de la guía 4.</t>
  </si>
  <si>
    <t xml:space="preserve">Es la fuente del AS-IS y de las reglas de cobro y cartera.</t>
  </si>
  <si>
    <t xml:space="preserve">El equipo aún no dispone del microcontrolador ni del modulo lector.</t>
  </si>
  <si>
    <t xml:space="preserve">Conseguir el hardware y probar la lectura contra la API.</t>
  </si>
  <si>
    <t xml:space="preserve">Riesgo acotado por HU-45: si el lector no está listo, el proceso manual cubre la operación.</t>
  </si>
  <si>
    <t xml:space="preserve">Control de cambios v3.3 -&gt; v3.4</t>
  </si>
  <si>
    <t xml:space="preserve">Cambios aplicados el 11 de septiembre de 2026 al cerrar la decision de stack tecnologico y al corregir las inconsistencias detectadas al construir la matriz de trazabilidad P05 y al revisar P03 y P04.</t>
  </si>
  <si>
    <t xml:space="preserve">Como estaba en la v3.3</t>
  </si>
  <si>
    <t xml:space="preserve">Como quedo en la v3.4 y por que</t>
  </si>
  <si>
    <t xml:space="preserve">ADR-008 - stack tecnologico</t>
  </si>
  <si>
    <t xml:space="preserve">Registrada en estado Propuesta, sin lenguaje de servidor ni motor de persistencia.</t>
  </si>
  <si>
    <t xml:space="preserve">Cerrada como Aceptada el 11/09/2026 con el stack completo, siete alternativas descartadas por escrito y el manejo de fechas en timestamptz UTC. Se decidio contra los tres criterios que la propia decision ya habia declarado.</t>
  </si>
  <si>
    <t xml:space="preserve">Decisiones (ADR), Historias Tecnicas, Leeme, Resumen</t>
  </si>
  <si>
    <t xml:space="preserve">ADR-010 - estilo arquitectonico</t>
  </si>
  <si>
    <t xml:space="preserve">No existia. La plantilla P04 la citaba cuatro veces y verificaba los ocho diagramas contra ella.</t>
  </si>
  <si>
    <t xml:space="preserve">Se crea como Aceptada: monolito modular con cliente desacoplado. Se retira la mencion al patron modelo-vista-controlador, que dejo de aplicar al elegir React: el servidor ya no renderiza vistas.</t>
  </si>
  <si>
    <t xml:space="preserve">Decisiones (ADR), Leeme, Resumen; obliga a corregir el apartado A.1 de P04</t>
  </si>
  <si>
    <t xml:space="preserve">HU-46 - bloqueo de cuenta por intentos fallidos</t>
  </si>
  <si>
    <t xml:space="preserve">RNF-01 exigia el bloqueo tras cinco intentos y DSQ-01 lo describia con su respuesta 423, pero ninguna de las 45 historias lo implementaba.</t>
  </si>
  <si>
    <t xml:space="preserve">Se crea HU-46 en EP-01, Must, 3 puntos, con los criterios de aceptacion del bloqueo, el tiempo restante y el asiento en bitacora. Un requisito no funcional sin historia que lo implemente no se construye.</t>
  </si>
  <si>
    <t xml:space="preserve">Historias de Usuario, INVEST, RF-02, RN-09, RNF-01, RNF-07, NEC-12, Resumen</t>
  </si>
  <si>
    <t xml:space="preserve">HU-47 - anulacion de un pago con motivo</t>
  </si>
  <si>
    <t xml:space="preserve">RN-13 exigia la anulacion con motivo para los registros de dinero, y BPM-03 y DSQ-04 la describian como camino de excepcion, pero solo HU-22 la cubria y solo para movimientos.</t>
  </si>
  <si>
    <t xml:space="preserve">Se crea HU-47 en EP-05, Should, 5 puntos, con recalculo de vencimiento y de estado de cartera. P03 y P04 atribuian esta funcion a HU-26, cuyo titulo real es consultar el historial de pagos.</t>
  </si>
  <si>
    <t xml:space="preserve">Historias de Usuario, INVEST, RF-14, RN-11, RN-12, RN-13, RNF-07, NEC-03, Resumen</t>
  </si>
  <si>
    <t xml:space="preserve">Historias tecnicas HT-05 a HT-08</t>
  </si>
  <si>
    <t xml:space="preserve">El libro tenia cuatro historias tecnicas, todas anteriores a la decision de stack.</t>
  </si>
  <si>
    <t xml:space="preserve">Se agregan cuatro derivadas de ADR-008 y ADR-010: repositorio y despliegue continuo, esquema de Prisma sobre PostgreSQL, sesion en base de datos con bloqueo por intentos, y cliente React con consumo autenticado de la API.</t>
  </si>
  <si>
    <t xml:space="preserve">Historias Tecnicas, Leeme, Resumen</t>
  </si>
  <si>
    <t xml:space="preserve">Enlaces cruzados de las historias nuevas</t>
  </si>
  <si>
    <t xml:space="preserve">Las columnas de historias de RF-02, RF-14, RN-09, RN-11, RN-12, RN-13, RNF-01, RNF-07, NEC-03 y NEC-12 no incluian HU-46 ni HU-47.</t>
  </si>
  <si>
    <t xml:space="preserve">Se agregan las dos historias en las diez filas correspondientes, para que la cadena de trazabilidad no quede rota en la matriz P05.</t>
  </si>
  <si>
    <t xml:space="preserve">Requisitos Funcionales, Reglas de Negocio, Requisitos No Funcionales, Trazabilidad</t>
  </si>
  <si>
    <t xml:space="preserve">Implementacion de los requisitos no funcionales</t>
  </si>
  <si>
    <t xml:space="preserve">Los RNF no podian nombrar tecnologia porque ADR-008 estaba abierta.</t>
  </si>
  <si>
    <t xml:space="preserve">Los criterios de verificacion NO cambian. La implementacion queda registrada en las consecuencias de ADR-008: RNF-01 con express-session y bcrypt mas HU-46, RNF-02 con extensiones de cliente de Prisma, RNF-11 contra un endpoint sin estado.</t>
  </si>
  <si>
    <t xml:space="preserve">Decisiones (ADR); los RNF conservan su redaccion</t>
  </si>
  <si>
    <t xml:space="preserve">Version y fecha del libro</t>
  </si>
  <si>
    <t xml:space="preserve">La portada y la hoja Leeme se identificaban como v3.3 con fecha del 9 de septiembre de 2026.</t>
  </si>
  <si>
    <t xml:space="preserve">Se actualizan a v3.4 con fecha del 11 de septiembre de 2026, y se corrige el conteo de decisiones de arquitectura, que decia 9 con una en Propuesta.</t>
  </si>
  <si>
    <t xml:space="preserve">PENDIENTES ABIERTOS AL CIERRE DE LA v3.4</t>
  </si>
  <si>
    <t xml:space="preserve">Acta de Constitucion y documento de Stakeholders</t>
  </si>
  <si>
    <t xml:space="preserve">Las portadas citan un numero de ficha distinto de 3229209.</t>
  </si>
  <si>
    <t xml:space="preserve">Es el dato que identifica al equipo ante la institucion.</t>
  </si>
  <si>
    <t xml:space="preserve">Analisis de Seguridad</t>
  </si>
  <si>
    <t xml:space="preserve">P04 Modelo UML, apartado A.1</t>
  </si>
  <si>
    <t xml:space="preserve">Describe CMP-01 como presentacion con patron modelo-vista-controlador, que ADR-010 acaba de retirar.</t>
  </si>
  <si>
    <t xml:space="preserve">Reescribir la fila de CMP-01 como aplicacion cliente independiente y la nota de estilo arquitectonico.</t>
  </si>
  <si>
    <t xml:space="preserve">Es el documento que cita ADR-010; si no se corrige, la verificacion del apartado A.3 sigue siendo falsa.</t>
  </si>
  <si>
    <t xml:space="preserve">Formulacion, Alcance y Especificacion de Requisitos</t>
  </si>
  <si>
    <t xml:space="preserve">Declaran MySQL y XAMPP como recursos y no mencionan PostgreSQL, Vercel ni el resto del stack.</t>
  </si>
  <si>
    <t xml:space="preserve">Actualizar la tabla de recursos y las restricciones tecnologicas conforme a ADR-008.</t>
  </si>
  <si>
    <t xml:space="preserve">ADR-008 justifica la desviacion, pero los documentos de origen siguen diciendo otra cosa.</t>
  </si>
  <si>
    <t xml:space="preserve">Estimacion de HT-01 a HT-08</t>
  </si>
  <si>
    <t xml:space="preserve">Las ocho historias tecnicas entran sin puntos.</t>
  </si>
  <si>
    <t xml:space="preserve">Estimarlas en la sesion de planificacion junto con las historias de usuario.</t>
  </si>
  <si>
    <t xml:space="preserve">Hoja INVEST</t>
  </si>
  <si>
    <t xml:space="preserve">Solo llega hasta HU-40: HU-41 a HU-45 nunca se evaluaron, y HU-46 y HU-47 se agregaron en esta version.</t>
  </si>
  <si>
    <t xml:space="preserve">Completar la evaluacion INVEST de HU-41 a HU-45.</t>
  </si>
  <si>
    <t xml:space="preserve">Pendiente heredado de la v3.0, detectado al actualizar la hoja en la v3.4.</t>
  </si>
  <si>
    <t xml:space="preserve">La ultima columna de la hoja Trazabilidad sigue en Por definir, y la matriz P05 no tiene ninguna fila con cobertura completa.</t>
  </si>
  <si>
    <t xml:space="preserve">Completar en la fase de Pruebas y ajustes, del 1 al 22 de diciembre de 2026, con Vitest y Supertest segun ADR-008.</t>
  </si>
  <si>
    <t xml:space="preserve">Cierra la cadena Necesidad, Requisito, Historia, Caso de uso, Escenario, Prueba, y es lo unico que falta para que la P05 pase de cobertura Parcial a Completa.</t>
  </si>
  <si>
    <t xml:space="preserve">Caso de uso del derecho de supresion</t>
  </si>
  <si>
    <t xml:space="preserve">Cumple los criterios de seleccion pero no se especifico.</t>
  </si>
  <si>
    <t xml:space="preserve">Es el unico flujo del sistema con consecuencia legal directa. ADR-007 pidio validacion del instructor.</t>
  </si>
  <si>
    <t xml:space="preserve">Registrar el nombre y la fecha.</t>
  </si>
  <si>
    <t xml:space="preserve">El equipo aun no dispone del microcontrolador ni del modulo lector.</t>
  </si>
  <si>
    <t xml:space="preserve">Riesgo acotado por HU-45: si el lector no esta listo, el proceso manual cubre la operacion.</t>
  </si>
  <si>
    <t xml:space="preserve">Validacion del stack con el instructor</t>
  </si>
  <si>
    <t xml:space="preserve">ADR-008 se cierra sobre planes gratuitos de terceros y se aparta de los recursos del Acta.</t>
  </si>
  <si>
    <t xml:space="preserve">Presentar la decision al instructor antes de iniciar la construccion.</t>
  </si>
  <si>
    <t xml:space="preserve">Es el mismo tipo de validacion que ADR-007 pidio para el derecho de supresion.</t>
  </si>
  <si>
    <t xml:space="preserve">Control de cambios v3.4 -&gt; v3.5</t>
  </si>
  <si>
    <t xml:space="preserve">Cambios aplicados el 11 de septiembre de 2026 al alinear la plantilla P04 con el backlog.</t>
  </si>
  <si>
    <t xml:space="preserve">Como estaba en la v3.4</t>
  </si>
  <si>
    <t xml:space="preserve">Como quedo en la v3.5 y por que</t>
  </si>
  <si>
    <t xml:space="preserve">HU-43 - criterio del acuse al dispositivo lector</t>
  </si>
  <si>
    <t xml:space="preserve">La historia describía la lectura del código pero no acotaba qué información puede devolver el sistema al dispositivo. La restricción se decidió al modelar DSQ-02 en la plantilla P04 y quedó anotada allí como pendiente de trasladar al backlog.</t>
  </si>
  <si>
    <t xml:space="preserve">Se agrega un cuarto criterio de aceptación: la respuesta al lector es solo un acuse de recibo, sin placa, afiliación ni ningún dato del vehículo, para que un lector comprometido no exponga información. Se suma RNF-05 a su trazabilidad.</t>
  </si>
  <si>
    <t xml:space="preserve">Historias de Usuario, Requisitos No Funcionales</t>
  </si>
  <si>
    <t xml:space="preserve">Catálogo de endpoints API-01 a API-12</t>
  </si>
  <si>
    <t xml:space="preserve">La plantilla P04 los declaraba pendientes de consolidación hasta cerrar ADR-008.</t>
  </si>
  <si>
    <t xml:space="preserve">Con ADR-008 cerrada, las rutas quedan declaradas definitivas en P04. El libro no cambia, pero se deja constancia porque cierra un pendiente de aquella plantilla.</t>
  </si>
  <si>
    <t xml:space="preserve">Ninguno en el libro; se registra por trazabilidad</t>
  </si>
  <si>
    <t xml:space="preserve">Se identificaba como v3.4 con fecha del 11 de septiembre de 2026.</t>
  </si>
  <si>
    <t xml:space="preserve">Se actualiza a v3.5, misma fecha, porque los dos cambios se aplicaron en la misma jornada de trabajo sobre P04.</t>
  </si>
  <si>
    <t xml:space="preserve">PENDIENTES ABIERTOS AL CIERRE DE LA v3.5</t>
  </si>
  <si>
    <t xml:space="preserve">Formulación, Alcance y Especificación de Requisitos</t>
  </si>
  <si>
    <t xml:space="preserve">Actualizar la tabla de recursos y las restricciones tecnológicas conforme a ADR-008.</t>
  </si>
  <si>
    <t xml:space="preserve">ADR-008 justifica la desviación, pero los documentos de origen siguen diciendo otra cosa.</t>
  </si>
  <si>
    <t xml:space="preserve">Estimación de HT-01 a HT-08</t>
  </si>
  <si>
    <t xml:space="preserve">Las ocho historias técnicas entran sin puntos.</t>
  </si>
  <si>
    <t xml:space="preserve">Solo evalúa hasta HU-40: HU-41 a HU-45 nunca se revisaron.</t>
  </si>
  <si>
    <t xml:space="preserve">Completar la evaluación INVEST de HU-41 a HU-45.</t>
  </si>
  <si>
    <t xml:space="preserve">La última columna de la hoja Trazabilidad sigue en Por definir, y la matriz P05 no tiene ninguna fila con cobertura completa.</t>
  </si>
  <si>
    <t xml:space="preserve">Completar en la fase de Pruebas y ajustes, del 1 al 22 de diciembre de 2026, con Vitest y Supertest según ADR-008.</t>
  </si>
  <si>
    <t xml:space="preserve">Cumple los criterios de selección pero no se especificó.</t>
  </si>
  <si>
    <t xml:space="preserve">Es el único flujo del sistema con consecuencia legal directa. ADR-007 pidió validación del instructor.</t>
  </si>
  <si>
    <t xml:space="preserve">El equipo aún no dispone del microcontrolador ni del módulo lector.</t>
  </si>
  <si>
    <t xml:space="preserve">Validación del stack con el instructor</t>
  </si>
  <si>
    <t xml:space="preserve">Presentar la decisión al instructor antes de iniciar la construcción.</t>
  </si>
  <si>
    <t xml:space="preserve">Es el mismo tipo de validación que ADR-007 pidió para el derecho de supresión.</t>
  </si>
  <si>
    <t xml:space="preserve">P05 Matriz de trazabilidad</t>
  </si>
  <si>
    <t xml:space="preserve">Cubre 12 filas y no incluye HU-46, HU-47 ni el criterio nuevo de HU-43.</t>
  </si>
  <si>
    <t xml:space="preserve">Regenerar la matriz cuando existan los casos de prueba de la P06.</t>
  </si>
  <si>
    <t xml:space="preserve">Es el artefacto que consolida la cadena completa de trazabilidad.</t>
  </si>
  <si>
    <t xml:space="preserve">Historias técnicas y trabajo de soporte</t>
  </si>
  <si>
    <t xml:space="preserve">Una decisión de arquitectura registrada no es una historia técnica. El ADR documenta por qué se eligio un camino; la historia técnica es el trabajo que esa decisión obliga a ejecutar. La decisión justifica la tarea, no la sustituye. Ninguna de estas historias nombra lenguaje, framework ni biblioteca, porque ADR-008 sigue en estado Propuesta.</t>
  </si>
  <si>
    <t xml:space="preserve">Historia tecnica</t>
  </si>
  <si>
    <t xml:space="preserve">Alcance</t>
  </si>
  <si>
    <t xml:space="preserve">ADR que la justifica</t>
  </si>
  <si>
    <t xml:space="preserve">Reglas y RNF</t>
  </si>
  <si>
    <t xml:space="preserve">Por que es necesaria</t>
  </si>
  <si>
    <t xml:space="preserve">Que habilita</t>
  </si>
  <si>
    <t xml:space="preserve">HT-01</t>
  </si>
  <si>
    <t xml:space="preserve">Preparar la estructura de persistencia multi-inquilino</t>
  </si>
  <si>
    <t xml:space="preserve">Estructura de datos</t>
  </si>
  <si>
    <t xml:space="preserve">Todas las tablas operativas llevan el discriminador de parqueadero y las restricciones de unicidad se definen por parqueadero, no de forma global.</t>
  </si>
  <si>
    <t xml:space="preserve">RNF-02, RN-04</t>
  </si>
  <si>
    <t xml:space="preserve">Sin esta estructura ninguna consulta puede aislarse por parqueadero y RNF-02, calificado como critico, no se puede verificar. La unicidad de la placa depende de ella.</t>
  </si>
  <si>
    <t xml:space="preserve">EP-02 a EP-08</t>
  </si>
  <si>
    <t xml:space="preserve">Por estimar</t>
  </si>
  <si>
    <t xml:space="preserve">HT-02</t>
  </si>
  <si>
    <t xml:space="preserve">Construir la bitácora de auditoría solo anexable</t>
  </si>
  <si>
    <t xml:space="preserve">Seguridad</t>
  </si>
  <si>
    <t xml:space="preserve">Registro de usuario, fecha, hora y motivo, sin operación de modificación ni de eliminación disponible para ningún rol.</t>
  </si>
  <si>
    <t xml:space="preserve">RN-13 declara inmutables los registros de dinero y RNF-07 exige que ninguna operación sensible quede sin rastro. La anonimización prevista en ADR-007 solo es defendible ante un requerimiento legal si existe evidencia de que se hizo y cuando.</t>
  </si>
  <si>
    <t xml:space="preserve">EP-08, HU-22, HU-26, HU-36, HU-37</t>
  </si>
  <si>
    <t xml:space="preserve">HT-03</t>
  </si>
  <si>
    <t xml:space="preserve">Construir el dispositivo lector de código QR</t>
  </si>
  <si>
    <t xml:space="preserve">Integración</t>
  </si>
  <si>
    <t xml:space="preserve">Microcontrolador con modulo de lectura y punto de integración que recibe el código leido y el identificador del punto de lectura.</t>
  </si>
  <si>
    <t xml:space="preserve">RN-16, RNF-11</t>
  </si>
  <si>
    <t xml:space="preserve">Es hardware propio del equipo y no corresponde a ninguna historia de usuario, pero HU-43, HU-44 y HU-45 dependen de el. RNF-11 exige que el lector se autentique con clave propia revocable.</t>
  </si>
  <si>
    <t xml:space="preserve">HT-04</t>
  </si>
  <si>
    <t xml:space="preserve">Implementar el cálculo de los estados de cartera</t>
  </si>
  <si>
    <t xml:space="preserve">Los cuatro estados de RN-12 se derivan de la fecha de vencimiento y se evaluan en el momento de la consulta.</t>
  </si>
  <si>
    <t xml:space="preserve">RN-11, RN-12</t>
  </si>
  <si>
    <t xml:space="preserve">El estado Por vencer, que se activa tres días antes del vencimiento, no se produce solo: alguien debe calcularlo. Se resuelve por cálculo en consulta y no por proceso programado, coherente con la exclusión del aviso automático de vencimiento.</t>
  </si>
  <si>
    <t xml:space="preserve">HU-24, HU-25, HU-27, HU-29</t>
  </si>
  <si>
    <t xml:space="preserve">HT-05</t>
  </si>
  <si>
    <t xml:space="preserve">Preparar el repositorio, el despliegue y la integracion continua</t>
  </si>
  <si>
    <t xml:space="preserve">Infraestructura</t>
  </si>
  <si>
    <t xml:space="preserve">Un repositorio con las carpetas api/ y web/, dos proyectos en Vercel apuntando a el, la redireccion de /api/* hacia el servidor, las variables de entorno por ambiente y un flujo de GitHub Actions que corra ESLint, Prettier y Vitest en cada push, con SonarCloud conectado.</t>
  </si>
  <si>
    <t xml:space="preserve">RNF-04, RNF-10</t>
  </si>
  <si>
    <t xml:space="preserve">Sin la redireccion de /api/* la cookie de sesion queda entre dominios distintos y la autenticacion no funciona. Sin el flujo de integracion continua, las metricas de la P06 no tienen de donde salir.</t>
  </si>
  <si>
    <t xml:space="preserve">Todas las epicas; habilita las metricas MET-01 a MET-12 de la P06</t>
  </si>
  <si>
    <t xml:space="preserve">HT-06</t>
  </si>
  <si>
    <t xml:space="preserve">Definir el esquema de Prisma y las migraciones sobre PostgreSQL</t>
  </si>
  <si>
    <t xml:space="preserve">Modelo de datos completo en el esquema de Prisma con el discriminador parqueadero_id de ADR-001, migraciones versionadas, y todas las marcas de tiempo como timestamptz en UTC. Incluye la extension de cliente que centraliza el filtro por parqueadero.</t>
  </si>
  <si>
    <t xml:space="preserve">ADR-008, ADR-001</t>
  </si>
  <si>
    <t xml:space="preserve">Es la traduccion de HT-01 a la tecnologia elegida. La extension de cliente evita que RNF-02 dependa de recordar el filtro en cada consulta, que es el punto donde un olvido expone datos de otro parqueadero.</t>
  </si>
  <si>
    <t xml:space="preserve">HT-07</t>
  </si>
  <si>
    <t xml:space="preserve">Implementar la sesion en PostgreSQL con bcrypt y el bloqueo por intentos</t>
  </si>
  <si>
    <t xml:space="preserve">Sesion con express-session almacenada en PostgreSQL con expiracion a treinta minutos, hash de contrasena con bcrypt, contador de intentos fallidos por cuenta y bloqueo de quince minutos con informe del tiempo restante.</t>
  </si>
  <si>
    <t xml:space="preserve">RNF-01, RN-09, RNF-07</t>
  </si>
  <si>
    <t xml:space="preserve">En un despliegue serverless la sesion no puede vivir en memoria del proceso. El bloqueo de cuenta que exige RNF-01 no lo resuelve ninguna biblioteca del stack: es logica propia.</t>
  </si>
  <si>
    <t xml:space="preserve">HU-03, HU-04, HU-46 y toda operacion autenticada</t>
  </si>
  <si>
    <t xml:space="preserve">HT-08</t>
  </si>
  <si>
    <t xml:space="preserve">Levantar el cliente React con Vite y Bootstrap y el consumo autenticado de la API</t>
  </si>
  <si>
    <t xml:space="preserve">Presentacion</t>
  </si>
  <si>
    <t xml:space="preserve">Proyecto de React con Vite, Bootstrap 5 con react-bootstrap, enrutamiento por rol, cliente HTTP que envia las credenciales de sesion, y manejo unificado de los errores 401, 403 y 423 que devuelve el servidor.</t>
  </si>
  <si>
    <t xml:space="preserve">ADR-010, ADR-008</t>
  </si>
  <si>
    <t xml:space="preserve">RNF-03, RNF-08, RNF-06</t>
  </si>
  <si>
    <t xml:space="preserve">ADR-010 convierte la presentacion en una aplicacion separada: el enrutamiento por rol y el manejo de sesion expirada dejan de ser responsabilidad del servidor y hay que construirlos en el cliente.</t>
  </si>
  <si>
    <t xml:space="preserve">Los tres paneles de EP-01 a EP-08; habilita el hito HI-08</t>
  </si>
  <si>
    <t xml:space="preserve">Casos de uso especificados en detalle</t>
  </si>
  <si>
    <t xml:space="preserve">No se construyo un caso de uso por cada historia. Se seleccionaron los seis flujos que cumplen la mayoria de las ocho condiciones de selección: varias decisiones, distintos actores, alternativas importantes, errores relevantes, reglas complejas, información sensible y criticidad para el producto. La especificación completa, con los flujos desarrollados paso a paso y los 21 escenarios, vive en el documento Casos de Uso y Escenarios v1.1. Las épicas EP-06, EP-07 y EP-08 no tienen caso propio: son consultas de solo lectura sin bifurcaciones.</t>
  </si>
  <si>
    <t xml:space="preserve">Actor principal</t>
  </si>
  <si>
    <t xml:space="preserve">Actores secundarios</t>
  </si>
  <si>
    <t xml:space="preserve">RF</t>
  </si>
  <si>
    <t xml:space="preserve">Reglas</t>
  </si>
  <si>
    <t xml:space="preserve">ADR</t>
  </si>
  <si>
    <t xml:space="preserve">Alternativos</t>
  </si>
  <si>
    <t xml:space="preserve">Escenarios</t>
  </si>
  <si>
    <t xml:space="preserve">Por que amerita el detalle</t>
  </si>
  <si>
    <t xml:space="preserve">CU-01</t>
  </si>
  <si>
    <t xml:space="preserve">Registrar la salida de un vehículo y liquidar el cobro</t>
  </si>
  <si>
    <t xml:space="preserve">Cliente afiliado, cliente ocasional, lector QR</t>
  </si>
  <si>
    <t xml:space="preserve">RF-12, RF-13</t>
  </si>
  <si>
    <t xml:space="preserve">HU-21, HU-22, HU-44</t>
  </si>
  <si>
    <t xml:space="preserve">RN-03, RN-10, RN-13, RN-14, RN-15, RN-16</t>
  </si>
  <si>
    <t xml:space="preserve">5 flujos</t>
  </si>
  <si>
    <t xml:space="preserve">4 escenarios</t>
  </si>
  <si>
    <t xml:space="preserve">Único punto donde se determina un valor en dinero. Se bifurca según el estado de cartera y aplica el cálculo por bloques de 24 horas sobre la tarifa congelada en la entrada.</t>
  </si>
  <si>
    <t xml:space="preserve">CU-02</t>
  </si>
  <si>
    <t xml:space="preserve">Registrar la entrada de un vehículo y asignar celda</t>
  </si>
  <si>
    <t xml:space="preserve">RF-11, RF-22</t>
  </si>
  <si>
    <t xml:space="preserve">HU-19, HU-20, HU-43</t>
  </si>
  <si>
    <t xml:space="preserve">RN-01, RN-03, RN-04, RN-10, RN-15, RN-16, RN-17</t>
  </si>
  <si>
    <t xml:space="preserve">ADR-003, ADR-009</t>
  </si>
  <si>
    <t xml:space="preserve">Concentra la mayor cantidad de validaciones previas: formato de placa, presencia única, celda compatible y congelamiento de tarifa. Es la operación más frecuente del día.</t>
  </si>
  <si>
    <t xml:space="preserve">CU-03</t>
  </si>
  <si>
    <t xml:space="preserve">Vincular la cuenta del cliente con su vehículo y su parqueadero</t>
  </si>
  <si>
    <t xml:space="preserve">Administrador, que emite el código</t>
  </si>
  <si>
    <t xml:space="preserve">RN-04, RN-05, RN-06, RN-07, RN-08</t>
  </si>
  <si>
    <t xml:space="preserve">4 flujos</t>
  </si>
  <si>
    <t xml:space="preserve">Es donde el sistema decide si una persona puede ver la información de un vehículo. Un error de diseño permitiria consultar movimientos ajenos conociendo solo la placa.</t>
  </si>
  <si>
    <t xml:space="preserve">CU-04</t>
  </si>
  <si>
    <t xml:space="preserve">Registrar el pago de una mensualidad y actualizar el período</t>
  </si>
  <si>
    <t xml:space="preserve">Cliente afiliado, que verifica el resultado</t>
  </si>
  <si>
    <t xml:space="preserve">HU-24, HU-25, HU-26</t>
  </si>
  <si>
    <t xml:space="preserve">3 escenarios</t>
  </si>
  <si>
    <t xml:space="preserve">Es el proceso que el análisis AS-IS identifico como el problema central del negocio. RN-11 encadena el período desde el vencimiento anterior si el pago es oportuno y desde la fecha de pago si es tardio.</t>
  </si>
  <si>
    <t xml:space="preserve">CU-05</t>
  </si>
  <si>
    <t xml:space="preserve">Configurar el parqueadero: celdas y tarifas</t>
  </si>
  <si>
    <t xml:space="preserve">Ninguno</t>
  </si>
  <si>
    <t xml:space="preserve">RF-05, RF-07, RF-08</t>
  </si>
  <si>
    <t xml:space="preserve">HU-07, HU-09, HU-10, HU-11</t>
  </si>
  <si>
    <t xml:space="preserve">RN-01, RN-02, RN-03</t>
  </si>
  <si>
    <t xml:space="preserve">ADR-001, ADR-003</t>
  </si>
  <si>
    <t xml:space="preserve">Hace visible la decisión estructural del proyecto: la unicidad del código de celda se verifica por parqueadero y no de forma global. Concentra el versionado de tarifas y su congelamiento.</t>
  </si>
  <si>
    <t xml:space="preserve">CU-06</t>
  </si>
  <si>
    <t xml:space="preserve">Afiliar un cliente con su vehículo y emitir el código de vinculación</t>
  </si>
  <si>
    <t xml:space="preserve">Cliente afiliado, que recibe el código</t>
  </si>
  <si>
    <t xml:space="preserve">RF-09, RF-10</t>
  </si>
  <si>
    <t xml:space="preserve">HU-12a, HU-14, HU-17</t>
  </si>
  <si>
    <t xml:space="preserve">RN-04, RN-05, RN-06, RN-08, RN-09</t>
  </si>
  <si>
    <t xml:space="preserve">Contraparte de CU-03 desde el administrador. Sin este caso el código que CU-03 consume no tendria origen. Es donde se capturan datos personales de un tercero, lo que activa RN-08.</t>
  </si>
  <si>
    <t xml:space="preserve">Supuestos del proyecto</t>
  </si>
  <si>
    <t xml:space="preserve">Un supuesto es una condición que se da por cierta sin haberla verificado y de la que depende una parte del alcance. Los supuestos SUP-01 y SUP-02 de versiones anteriores se cerraron al confirmarse ADR-003 y ADR-004. SUP-03 nace del levantamiento del proceso real realizado para el documento de la guía 4.</t>
  </si>
  <si>
    <t xml:space="preserve">Supuesto</t>
  </si>
  <si>
    <t xml:space="preserve">Registrado</t>
  </si>
  <si>
    <t xml:space="preserve">Enunciado</t>
  </si>
  <si>
    <t xml:space="preserve">De que depende</t>
  </si>
  <si>
    <t xml:space="preserve">Que pasa si no se cumple</t>
  </si>
  <si>
    <t xml:space="preserve">SUP-03</t>
  </si>
  <si>
    <t xml:space="preserve">Presencia de operario en el acceso</t>
  </si>
  <si>
    <t xml:space="preserve">Abierto</t>
  </si>
  <si>
    <t xml:space="preserve">09/09/2026</t>
  </si>
  <si>
    <t xml:space="preserve">El modelo objetivo supone que el parqueadero cuenta con una persona en el rol de operario que atiende el acceso.</t>
  </si>
  <si>
    <t xml:space="preserve">EP-04 (42 puntos), ADR-009, CU-01, CU-02, HT-03</t>
  </si>
  <si>
    <t xml:space="preserve">El levantamiento del proceso real mostro que en el parqueadero de referencia el acceso no tiene cobertura permanente y que los clientes permanentes entran y salen con llave propia sin registro alguno. El administrador manifesto su acuerdo con el modelo propuesto, pero hasta la v3.2 ese acuerdo solo existia de forma verbal.</t>
  </si>
  <si>
    <t xml:space="preserve">Si el supuesto no se sostiene, la épica de mayor esfuerzo del backlog queda sin quien la ejecute y el lector QR de ADR-009 pierde su punto de operación.</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</si>
</sst>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i val="true"/>
      <sz val="10"/>
      <color rgb="FF595959"/>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E2EFDA"/>
        <bgColor rgb="FFE2E3E5"/>
      </patternFill>
    </fill>
    <fill>
      <patternFill patternType="solid">
        <fgColor rgb="FFFFF2CC"/>
        <bgColor rgb="FFFFF3CD"/>
      </patternFill>
    </fill>
    <fill>
      <patternFill patternType="solid">
        <fgColor rgb="FFDDEBF7"/>
        <bgColor rgb="FFE2E3E5"/>
      </patternFill>
    </fill>
    <fill>
      <patternFill patternType="solid">
        <fgColor rgb="FFF2F2F2"/>
        <bgColor rgb="FFF2F5FA"/>
      </patternFill>
    </fill>
    <fill>
      <patternFill patternType="solid">
        <fgColor rgb="FFFFC000"/>
        <bgColor rgb="FFFFFF00"/>
      </patternFill>
    </fill>
    <fill>
      <patternFill patternType="solid">
        <fgColor rgb="FFF2F5FA"/>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6" fontId="7"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FC000"/>
          <bgColor rgb="FF000000"/>
        </patternFill>
      </fill>
    </dxf>
    <dxf>
      <fill>
        <patternFill patternType="solid">
          <fgColor rgb="FFE2E3E5"/>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41464B"/>
          <bgColor rgb="FF000000"/>
        </patternFill>
      </fill>
    </dxf>
    <dxf>
      <fill>
        <patternFill patternType="solid">
          <fgColor rgb="FF7A5C00"/>
          <bgColor rgb="FF000000"/>
        </patternFill>
      </fill>
    </dxf>
    <dxf>
      <fill>
        <patternFill patternType="solid">
          <fgColor rgb="FF842029"/>
          <bgColor rgb="FF000000"/>
        </patternFill>
      </fill>
    </dxf>
    <dxf>
      <font>
        <name val="Arial"/>
        <charset val="1"/>
        <family val="0"/>
        <b val="1"/>
        <color rgb="FF842029"/>
        <sz val="10"/>
      </font>
      <fill>
        <patternFill>
          <bgColor rgb="FFF8D7DA"/>
        </patternFill>
      </fill>
    </dxf>
    <dxf>
      <font>
        <name val="Arial"/>
        <charset val="1"/>
        <family val="0"/>
        <color rgb="FF7A5C00"/>
        <sz val="10"/>
      </font>
      <fill>
        <patternFill>
          <bgColor rgb="FFFFF3CD"/>
        </patternFill>
      </fill>
    </dxf>
    <dxf>
      <font>
        <name val="Arial"/>
        <charset val="1"/>
        <family val="0"/>
        <color rgb="FF41464B"/>
        <sz val="10"/>
      </font>
      <fill>
        <patternFill>
          <bgColor rgb="FFE2E3E5"/>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A5C00"/>
      <rgbColor rgb="FF800080"/>
      <rgbColor rgb="FF008080"/>
      <rgbColor rgb="FFBFBFBF"/>
      <rgbColor rgb="FF808080"/>
      <rgbColor rgb="FF9999FF"/>
      <rgbColor rgb="FF7030A0"/>
      <rgbColor rgb="FFFFF3CD"/>
      <rgbColor rgb="FFDDEBF7"/>
      <rgbColor rgb="FF660066"/>
      <rgbColor rgb="FFFF8080"/>
      <rgbColor rgb="FF0066CC"/>
      <rgbColor rgb="FFE2E3E5"/>
      <rgbColor rgb="FF000080"/>
      <rgbColor rgb="FFFF00FF"/>
      <rgbColor rgb="FFFFFF00"/>
      <rgbColor rgb="FF00FFFF"/>
      <rgbColor rgb="FF800080"/>
      <rgbColor rgb="FF800000"/>
      <rgbColor rgb="FF008080"/>
      <rgbColor rgb="FF0000FF"/>
      <rgbColor rgb="FF00CCFF"/>
      <rgbColor rgb="FFF2F5FA"/>
      <rgbColor rgb="FFE2EFDA"/>
      <rgbColor rgb="FFFFF2CC"/>
      <rgbColor rgb="FFF2F2F2"/>
      <rgbColor rgb="FFFF99CC"/>
      <rgbColor rgb="FFCC99FF"/>
      <rgbColor rgb="FFF8D7DA"/>
      <rgbColor rgb="FF2E75B6"/>
      <rgbColor rgb="FF33CCCC"/>
      <rgbColor rgb="FF99CC00"/>
      <rgbColor rgb="FFFFC000"/>
      <rgbColor rgb="FFBF8F00"/>
      <rgbColor rgb="FFED7D31"/>
      <rgbColor rgb="FF595959"/>
      <rgbColor rgb="FF969696"/>
      <rgbColor rgb="FF1F3864"/>
      <rgbColor rgb="FF548235"/>
      <rgbColor rgb="FF003300"/>
      <rgbColor rgb="FF333300"/>
      <rgbColor rgb="FF842029"/>
      <rgbColor rgb="FF993366"/>
      <rgbColor rgb="FF333399"/>
      <rgbColor rgb="FF4146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50"/>
  <sheetViews>
    <sheetView showFormulas="false" showGridLines="false" showRowColHeaders="true" showZeros="true" rightToLeft="false" tabSelected="false" showOutlineSymbols="true" defaultGridColor="true" view="normal" topLeftCell="A33" colorId="64" zoomScale="100" zoomScaleNormal="100" zoomScalePageLayoutView="100" workbookViewId="0">
      <selection pane="topLeft" activeCell="F10" activeCellId="0" sqref="F10"/>
    </sheetView>
  </sheetViews>
  <sheetFormatPr defaultColWidth="8.66796875" defaultRowHeight="14.25" zeroHeight="false" outlineLevelRow="0" outlineLevelCol="0"/>
  <cols>
    <col collapsed="false" customWidth="true" hidden="false" outlineLevel="0" max="1" min="1" style="1" width="32"/>
    <col collapsed="false" customWidth="true" hidden="false" outlineLevel="0" max="2" min="2" style="1" width="108"/>
  </cols>
  <sheetData>
    <row r="1" customFormat="false" ht="18.75" hidden="false" customHeight="true" outlineLevel="0" collapsed="false">
      <c r="A1" s="2" t="s">
        <v>0</v>
      </c>
    </row>
    <row r="2" customFormat="false" ht="27.75" hidden="false" customHeight="true" outlineLevel="0" collapsed="false">
      <c r="A2" s="3" t="s">
        <v>1</v>
      </c>
    </row>
    <row r="3" customFormat="false" ht="15" hidden="false" customHeight="true" outlineLevel="0" collapsed="false">
      <c r="A3" s="3" t="s">
        <v>2</v>
      </c>
    </row>
    <row r="4" customFormat="false" ht="15" hidden="false" customHeight="true" outlineLevel="0" collapsed="false"/>
    <row r="5" customFormat="false" ht="19.5" hidden="false" customHeight="true" outlineLevel="0" collapsed="false">
      <c r="A5" s="4" t="s">
        <v>3</v>
      </c>
      <c r="B5" s="5"/>
    </row>
    <row r="6" customFormat="false" ht="30" hidden="false" customHeight="true" outlineLevel="0" collapsed="false">
      <c r="A6" s="6" t="s">
        <v>4</v>
      </c>
      <c r="B6" s="7" t="s">
        <v>5</v>
      </c>
    </row>
    <row r="7" customFormat="false" ht="30" hidden="false" customHeight="true" outlineLevel="0" collapsed="false">
      <c r="A7" s="6" t="s">
        <v>6</v>
      </c>
      <c r="B7" s="7" t="s">
        <v>7</v>
      </c>
    </row>
    <row r="8" customFormat="false" ht="30" hidden="false" customHeight="true" outlineLevel="0" collapsed="false">
      <c r="A8" s="6" t="s">
        <v>8</v>
      </c>
      <c r="B8" s="7" t="s">
        <v>9</v>
      </c>
    </row>
    <row r="9" customFormat="false" ht="30" hidden="false" customHeight="true" outlineLevel="0" collapsed="false">
      <c r="A9" s="8" t="s">
        <v>10</v>
      </c>
      <c r="B9" s="9" t="s">
        <v>11</v>
      </c>
    </row>
    <row r="10" customFormat="false" ht="30" hidden="false" customHeight="true" outlineLevel="0" collapsed="false">
      <c r="A10" s="6" t="s">
        <v>12</v>
      </c>
      <c r="B10" s="7" t="s">
        <v>13</v>
      </c>
    </row>
    <row r="11" customFormat="false" ht="30" hidden="false" customHeight="true" outlineLevel="0" collapsed="false">
      <c r="A11" s="6" t="s">
        <v>14</v>
      </c>
      <c r="B11" s="7" t="s">
        <v>15</v>
      </c>
    </row>
    <row r="12" customFormat="false" ht="18" hidden="false" customHeight="true" outlineLevel="0" collapsed="false">
      <c r="A12" s="6" t="s">
        <v>16</v>
      </c>
      <c r="B12" s="7" t="s">
        <v>17</v>
      </c>
    </row>
    <row r="13" customFormat="false" ht="30" hidden="false" customHeight="true" outlineLevel="0" collapsed="false">
      <c r="A13" s="6" t="s">
        <v>18</v>
      </c>
      <c r="B13" s="7" t="s">
        <v>19</v>
      </c>
    </row>
    <row r="14" customFormat="false" ht="30" hidden="false" customHeight="true" outlineLevel="0" collapsed="false">
      <c r="A14" s="6" t="s">
        <v>20</v>
      </c>
      <c r="B14" s="7" t="s">
        <v>21</v>
      </c>
    </row>
    <row r="15" customFormat="false" ht="18" hidden="false" customHeight="true" outlineLevel="0" collapsed="false">
      <c r="A15" s="6" t="s">
        <v>22</v>
      </c>
      <c r="B15" s="7" t="s">
        <v>23</v>
      </c>
    </row>
    <row r="16" customFormat="false" ht="30" hidden="false" customHeight="true" outlineLevel="0" collapsed="false">
      <c r="A16" s="6" t="s">
        <v>24</v>
      </c>
      <c r="B16" s="7" t="s">
        <v>25</v>
      </c>
    </row>
    <row r="17" customFormat="false" ht="15" hidden="false" customHeight="true" outlineLevel="0" collapsed="false">
      <c r="A17" s="6" t="s">
        <v>26</v>
      </c>
      <c r="B17" s="7" t="s">
        <v>27</v>
      </c>
    </row>
    <row r="18" customFormat="false" ht="19.5" hidden="false" customHeight="true" outlineLevel="0" collapsed="false">
      <c r="A18" s="10" t="s">
        <v>28</v>
      </c>
      <c r="B18" s="11" t="s">
        <v>29</v>
      </c>
    </row>
    <row r="19" customFormat="false" ht="18" hidden="false" customHeight="true" outlineLevel="0" collapsed="false">
      <c r="A19" s="10" t="s">
        <v>30</v>
      </c>
      <c r="B19" s="11" t="s">
        <v>31</v>
      </c>
    </row>
    <row r="20" customFormat="false" ht="18" hidden="false" customHeight="true" outlineLevel="0" collapsed="false">
      <c r="A20" s="10" t="s">
        <v>32</v>
      </c>
      <c r="B20" s="11" t="s">
        <v>33</v>
      </c>
    </row>
    <row r="21" customFormat="false" ht="18" hidden="false" customHeight="true" outlineLevel="0" collapsed="false"/>
    <row r="22" customFormat="false" ht="18" hidden="false" customHeight="true" outlineLevel="0" collapsed="false">
      <c r="A22" s="4" t="s">
        <v>34</v>
      </c>
      <c r="B22" s="5"/>
    </row>
    <row r="23" customFormat="false" ht="18" hidden="false" customHeight="true" outlineLevel="0" collapsed="false">
      <c r="A23" s="6" t="s">
        <v>35</v>
      </c>
      <c r="B23" s="7" t="s">
        <v>36</v>
      </c>
    </row>
    <row r="24" customFormat="false" ht="23.25" hidden="false" customHeight="true" outlineLevel="0" collapsed="false">
      <c r="A24" s="6" t="s">
        <v>37</v>
      </c>
      <c r="B24" s="7" t="s">
        <v>38</v>
      </c>
    </row>
    <row r="25" customFormat="false" ht="19.5" hidden="false" customHeight="true" outlineLevel="0" collapsed="false">
      <c r="A25" s="6" t="s">
        <v>39</v>
      </c>
      <c r="B25" s="7" t="s">
        <v>40</v>
      </c>
    </row>
    <row r="26" customFormat="false" ht="18" hidden="false" customHeight="true" outlineLevel="0" collapsed="false">
      <c r="A26" s="6" t="s">
        <v>41</v>
      </c>
      <c r="B26" s="7" t="s">
        <v>42</v>
      </c>
    </row>
    <row r="27" customFormat="false" ht="42" hidden="false" customHeight="true" outlineLevel="0" collapsed="false">
      <c r="A27" s="6" t="s">
        <v>43</v>
      </c>
      <c r="B27" s="7" t="s">
        <v>44</v>
      </c>
    </row>
    <row r="28" customFormat="false" ht="30" hidden="false" customHeight="true" outlineLevel="0" collapsed="false"/>
    <row r="29" customFormat="false" ht="30" hidden="false" customHeight="true" outlineLevel="0" collapsed="false">
      <c r="A29" s="4" t="s">
        <v>45</v>
      </c>
      <c r="B29" s="5"/>
    </row>
    <row r="30" customFormat="false" ht="30" hidden="false" customHeight="true" outlineLevel="0" collapsed="false">
      <c r="A30" s="6" t="s">
        <v>46</v>
      </c>
      <c r="B30" s="7" t="s">
        <v>47</v>
      </c>
    </row>
    <row r="31" customFormat="false" ht="18" hidden="false" customHeight="true" outlineLevel="0" collapsed="false">
      <c r="A31" s="6" t="s">
        <v>48</v>
      </c>
      <c r="B31" s="7" t="s">
        <v>49</v>
      </c>
    </row>
    <row r="32" customFormat="false" ht="30" hidden="false" customHeight="true" outlineLevel="0" collapsed="false">
      <c r="A32" s="6" t="s">
        <v>50</v>
      </c>
      <c r="B32" s="7" t="s">
        <v>51</v>
      </c>
    </row>
    <row r="33" customFormat="false" ht="30" hidden="false" customHeight="true" outlineLevel="0" collapsed="false">
      <c r="A33" s="6" t="s">
        <v>52</v>
      </c>
      <c r="B33" s="7" t="s">
        <v>53</v>
      </c>
    </row>
    <row r="34" customFormat="false" ht="30" hidden="false" customHeight="true" outlineLevel="0" collapsed="false">
      <c r="A34" s="6" t="s">
        <v>54</v>
      </c>
      <c r="B34" s="7" t="s">
        <v>55</v>
      </c>
    </row>
    <row r="35" customFormat="false" ht="15" hidden="false" customHeight="true" outlineLevel="0" collapsed="false">
      <c r="A35" s="6" t="s">
        <v>56</v>
      </c>
      <c r="B35" s="7" t="s">
        <v>57</v>
      </c>
    </row>
    <row r="36" customFormat="false" ht="19.5" hidden="false" customHeight="true" outlineLevel="0" collapsed="false">
      <c r="A36" s="6" t="s">
        <v>58</v>
      </c>
      <c r="B36" s="7" t="s">
        <v>59</v>
      </c>
    </row>
    <row r="37" customFormat="false" ht="30" hidden="false" customHeight="true" outlineLevel="0" collapsed="false">
      <c r="A37" s="6" t="s">
        <v>60</v>
      </c>
      <c r="B37" s="7" t="s">
        <v>61</v>
      </c>
    </row>
    <row r="38" customFormat="false" ht="18" hidden="false" customHeight="true" outlineLevel="0" collapsed="false">
      <c r="A38" s="6" t="s">
        <v>62</v>
      </c>
      <c r="B38" s="7" t="s">
        <v>63</v>
      </c>
    </row>
    <row r="39" customFormat="false" ht="18" hidden="false" customHeight="true" outlineLevel="0" collapsed="false"/>
    <row r="40" customFormat="false" ht="18" hidden="false" customHeight="true" outlineLevel="0" collapsed="false">
      <c r="A40" s="4" t="s">
        <v>64</v>
      </c>
      <c r="B40" s="5"/>
    </row>
    <row r="41" customFormat="false" ht="18" hidden="false" customHeight="true" outlineLevel="0" collapsed="false">
      <c r="A41" s="12" t="s">
        <v>65</v>
      </c>
      <c r="B41" s="13" t="s">
        <v>66</v>
      </c>
    </row>
    <row r="42" customFormat="false" ht="26.25" hidden="false" customHeight="true" outlineLevel="0" collapsed="false">
      <c r="A42" s="12" t="s">
        <v>67</v>
      </c>
      <c r="B42" s="13" t="s">
        <v>68</v>
      </c>
    </row>
    <row r="43" customFormat="false" ht="19.5" hidden="false" customHeight="true" outlineLevel="0" collapsed="false">
      <c r="A43" s="12" t="s">
        <v>69</v>
      </c>
      <c r="B43" s="13" t="s">
        <v>70</v>
      </c>
    </row>
    <row r="44" customFormat="false" ht="30" hidden="false" customHeight="true" outlineLevel="0" collapsed="false">
      <c r="A44" s="12" t="s">
        <v>71</v>
      </c>
      <c r="B44" s="13" t="s">
        <v>72</v>
      </c>
    </row>
    <row r="45" customFormat="false" ht="30" hidden="false" customHeight="true" outlineLevel="0" collapsed="false">
      <c r="A45" s="12" t="s">
        <v>73</v>
      </c>
      <c r="B45" s="13" t="s">
        <v>74</v>
      </c>
    </row>
    <row r="46" customFormat="false" ht="30" hidden="false" customHeight="true" outlineLevel="0" collapsed="false"/>
    <row r="47" customFormat="false" ht="26.25" hidden="false" customHeight="true" outlineLevel="0" collapsed="false">
      <c r="A47" s="4" t="s">
        <v>75</v>
      </c>
      <c r="B47" s="5"/>
    </row>
    <row r="48" customFormat="false" ht="23.25" hidden="false" customHeight="true" outlineLevel="0" collapsed="false">
      <c r="A48" s="14" t="s">
        <v>76</v>
      </c>
      <c r="B48" s="15" t="s">
        <v>77</v>
      </c>
    </row>
    <row r="49" customFormat="false" ht="23.25" hidden="false" customHeight="true" outlineLevel="0" collapsed="false">
      <c r="A49" s="14" t="s">
        <v>78</v>
      </c>
      <c r="B49" s="15" t="s">
        <v>79</v>
      </c>
    </row>
    <row r="50" customFormat="false" ht="23.25" hidden="false" customHeight="true" outlineLevel="0" collapsed="false">
      <c r="A50" s="14" t="s">
        <v>80</v>
      </c>
      <c r="B50" s="15"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82"/>
  </cols>
  <sheetData>
    <row r="1" customFormat="false" ht="18.75" hidden="false" customHeight="true" outlineLevel="0" collapsed="false">
      <c r="A1" s="2" t="s">
        <v>82</v>
      </c>
    </row>
    <row r="2" customFormat="false" ht="27.75" hidden="false" customHeight="true" outlineLevel="0" collapsed="false">
      <c r="A2" s="16" t="s">
        <v>83</v>
      </c>
      <c r="B2" s="16"/>
      <c r="C2" s="16"/>
      <c r="D2" s="16"/>
    </row>
    <row r="3" customFormat="false" ht="15" hidden="false" customHeight="true" outlineLevel="0" collapsed="false">
      <c r="A3" s="17" t="s">
        <v>84</v>
      </c>
    </row>
    <row r="4" customFormat="false" ht="30" hidden="false" customHeight="true" outlineLevel="0" collapsed="false">
      <c r="A4" s="18" t="s">
        <v>85</v>
      </c>
      <c r="B4" s="18" t="s">
        <v>86</v>
      </c>
      <c r="C4" s="18" t="s">
        <v>87</v>
      </c>
    </row>
    <row r="5" customFormat="false" ht="54.75" hidden="false" customHeight="true" outlineLevel="0" collapsed="false">
      <c r="A5" s="6" t="s">
        <v>88</v>
      </c>
      <c r="B5" s="19" t="n">
        <f aca="false">COUNTIF('Historias de Usuario'!$A$5:$A$200,"HU-*")</f>
        <v>47</v>
      </c>
      <c r="C5" s="7" t="s">
        <v>89</v>
      </c>
    </row>
    <row r="6" customFormat="false" ht="18" hidden="false" customHeight="true" outlineLevel="0" collapsed="false">
      <c r="A6" s="6" t="s">
        <v>90</v>
      </c>
      <c r="B6" s="19" t="n">
        <v>3</v>
      </c>
      <c r="C6" s="7" t="s">
        <v>91</v>
      </c>
    </row>
    <row r="7" customFormat="false" ht="42" hidden="false" customHeight="true" outlineLevel="0" collapsed="false">
      <c r="A7" s="8" t="s">
        <v>92</v>
      </c>
      <c r="B7" s="1" t="n">
        <v>5</v>
      </c>
      <c r="C7" s="11" t="s">
        <v>93</v>
      </c>
    </row>
    <row r="8" customFormat="false" ht="79.5" hidden="false" customHeight="true" outlineLevel="0" collapsed="false">
      <c r="A8" s="6" t="s">
        <v>94</v>
      </c>
      <c r="B8" s="19" t="n">
        <f aca="false">SUM('Historias de Usuario'!$K$5:$K$200)</f>
        <v>187</v>
      </c>
      <c r="C8" s="7" t="s">
        <v>95</v>
      </c>
    </row>
    <row r="9" customFormat="false" ht="79.5" hidden="false" customHeight="true" outlineLevel="0" collapsed="false">
      <c r="A9" s="6" t="s">
        <v>96</v>
      </c>
      <c r="B9" s="19" t="n">
        <f aca="false">SUMIF('Historias de Usuario'!$J$5:$J$200,"Must",'Historias de Usuario'!$K$5:$K$200)</f>
        <v>111</v>
      </c>
      <c r="C9" s="7" t="s">
        <v>97</v>
      </c>
    </row>
    <row r="10" customFormat="false" ht="79.5" hidden="false" customHeight="true" outlineLevel="0" collapsed="false">
      <c r="A10" s="6" t="s">
        <v>98</v>
      </c>
      <c r="B10" s="19" t="n">
        <f aca="false">SUMIF('Historias de Usuario'!$J$5:$J$200,"Should",'Historias de Usuario'!$K$5:$K$200)</f>
        <v>55</v>
      </c>
      <c r="C10" s="7" t="s">
        <v>99</v>
      </c>
    </row>
    <row r="11" customFormat="false" ht="30" hidden="false" customHeight="true" outlineLevel="0" collapsed="false">
      <c r="A11" s="6" t="s">
        <v>100</v>
      </c>
      <c r="B11" s="19" t="n">
        <f aca="false">SUMIF('Historias de Usuario'!$J$5:$J$200,"Could",'Historias de Usuario'!$K$5:$K$200)</f>
        <v>21</v>
      </c>
      <c r="C11" s="7" t="s">
        <v>101</v>
      </c>
    </row>
    <row r="12" customFormat="false" ht="54.75" hidden="false" customHeight="true" outlineLevel="0" collapsed="false">
      <c r="A12" s="6" t="s">
        <v>102</v>
      </c>
      <c r="B12" s="20" t="n">
        <f aca="false">IFERROR(B9/B8,0)</f>
        <v>0.593582887700535</v>
      </c>
      <c r="C12" s="7" t="s">
        <v>103</v>
      </c>
    </row>
    <row r="13" customFormat="false" ht="54.75" hidden="false" customHeight="true" outlineLevel="0" collapsed="false">
      <c r="A13" s="6" t="s">
        <v>104</v>
      </c>
      <c r="B13" s="19" t="n">
        <f aca="false">COUNTIF('Historias de Usuario'!$J$5:$J$200,"Must")</f>
        <v>27</v>
      </c>
      <c r="C13" s="7"/>
    </row>
    <row r="14" customFormat="false" ht="54.75" hidden="false" customHeight="true" outlineLevel="0" collapsed="false">
      <c r="A14" s="6" t="s">
        <v>105</v>
      </c>
      <c r="B14" s="19" t="n">
        <f aca="false">COUNTIF('Historias de Usuario'!$J$5:$J$200,"Should")</f>
        <v>15</v>
      </c>
      <c r="C14" s="7"/>
    </row>
    <row r="15" customFormat="false" ht="18" hidden="false" customHeight="true" outlineLevel="0" collapsed="false">
      <c r="A15" s="6" t="s">
        <v>106</v>
      </c>
      <c r="B15" s="19" t="n">
        <f aca="false">COUNTIF('Historias de Usuario'!$J$5:$J$200,"Could")</f>
        <v>5</v>
      </c>
      <c r="C15" s="7"/>
    </row>
    <row r="16" customFormat="false" ht="42" hidden="false" customHeight="true" outlineLevel="0" collapsed="false">
      <c r="A16" s="6" t="s">
        <v>41</v>
      </c>
      <c r="B16" s="19" t="s">
        <v>107</v>
      </c>
      <c r="C16" s="7" t="s">
        <v>108</v>
      </c>
    </row>
    <row r="17" customFormat="false" ht="54.75" hidden="false" customHeight="true" outlineLevel="0" collapsed="false">
      <c r="A17" s="8" t="s">
        <v>109</v>
      </c>
      <c r="B17" s="1" t="n">
        <f aca="false">COUNTIF('Requisitos Funcionales'!$A$5:$A$100,"RF-*")</f>
        <v>22</v>
      </c>
      <c r="C17" s="11" t="s">
        <v>110</v>
      </c>
    </row>
    <row r="18" customFormat="false" ht="42" hidden="false" customHeight="true" outlineLevel="0" collapsed="false">
      <c r="A18" s="6" t="s">
        <v>111</v>
      </c>
      <c r="B18" s="19" t="n">
        <f aca="false">COUNTIF('Reglas de Negocio'!$A$5:$A$100,"RN-*")</f>
        <v>17</v>
      </c>
      <c r="C18" s="7"/>
    </row>
    <row r="19" customFormat="false" ht="42" hidden="false" customHeight="true" outlineLevel="0" collapsed="false">
      <c r="A19" s="6" t="s">
        <v>112</v>
      </c>
      <c r="B19" s="19" t="n">
        <f aca="false">COUNTIF('Requisitos No Funcionales'!$A$5:$A$100,"RNF-*")</f>
        <v>11</v>
      </c>
      <c r="C19" s="7"/>
    </row>
    <row r="20" customFormat="false" ht="42" hidden="false" customHeight="true" outlineLevel="0" collapsed="false">
      <c r="A20" s="6" t="s">
        <v>113</v>
      </c>
      <c r="B20" s="19" t="n">
        <f aca="false">COUNTIF('Decisiones (ADR)'!$A$5:$A$100,"ADR-*")</f>
        <v>10</v>
      </c>
      <c r="C20" s="7" t="s">
        <v>114</v>
      </c>
    </row>
    <row r="21" customFormat="false" ht="54.75" hidden="false" customHeight="true" outlineLevel="0" collapsed="false">
      <c r="A21" s="6" t="s">
        <v>115</v>
      </c>
      <c r="B21" s="19" t="n">
        <f aca="false">COUNTIF(Trazabilidad!$A$5:$A$100,"NEC-*")</f>
        <v>12</v>
      </c>
      <c r="C21" s="7" t="s">
        <v>116</v>
      </c>
    </row>
    <row r="22" customFormat="false" ht="54.75" hidden="false" customHeight="true" outlineLevel="0" collapsed="false">
      <c r="A22" s="6" t="s">
        <v>117</v>
      </c>
      <c r="B22" s="19" t="n">
        <f aca="false">COUNTIF('Fuera de alcance'!$B$5:$B$100,"Won?t*")</f>
        <v>12</v>
      </c>
      <c r="C22" s="7" t="s">
        <v>118</v>
      </c>
    </row>
    <row r="23" customFormat="false" ht="92.25" hidden="false" customHeight="true" outlineLevel="0" collapsed="false">
      <c r="A23" s="6" t="s">
        <v>119</v>
      </c>
      <c r="B23" s="19" t="n">
        <f aca="false">COUNTIF('Historias de Usuario'!$L$5:$L$200,"Por hacer")</f>
        <v>47</v>
      </c>
      <c r="C23" s="7" t="s">
        <v>120</v>
      </c>
    </row>
    <row r="24" customFormat="false" ht="14.25" hidden="false" customHeight="true" outlineLevel="0" collapsed="false">
      <c r="A24" s="6" t="s">
        <v>121</v>
      </c>
      <c r="B24" s="19" t="n">
        <f aca="false">COUNTIF('Historias de Usuario'!$L$5:$L$200,"Hecho")</f>
        <v>0</v>
      </c>
      <c r="C24" s="7"/>
    </row>
    <row r="25" customFormat="false" ht="14.25" hidden="false" customHeight="true" outlineLevel="0" collapsed="false">
      <c r="A25" s="6" t="s">
        <v>122</v>
      </c>
      <c r="B25" s="20" t="n">
        <f aca="false">IFERROR(SUMIF('Historias de Usuario'!$L$5:$L$200,"Hecho",'Historias de Usuario'!$K$5:$K$200)/B8,0)</f>
        <v>0</v>
      </c>
      <c r="C25" s="7" t="s">
        <v>123</v>
      </c>
    </row>
    <row r="26" customFormat="false" ht="14.25" hidden="false" customHeight="true" outlineLevel="0" collapsed="false">
      <c r="A26" s="11" t="s">
        <v>124</v>
      </c>
      <c r="B26" s="8" t="n">
        <f aca="false">COUNTIF('Historias Tecnicas'!$A$5:$A$100,"HT-*")</f>
        <v>8</v>
      </c>
      <c r="C26" s="11" t="s">
        <v>125</v>
      </c>
    </row>
    <row r="27" customFormat="false" ht="14.25" hidden="false" customHeight="true" outlineLevel="0" collapsed="false">
      <c r="A27" s="11" t="s">
        <v>126</v>
      </c>
      <c r="B27" s="8" t="n">
        <f aca="false">COUNTIF('Casos de Uso'!$A$5:$A$100,"CU-*")</f>
        <v>6</v>
      </c>
      <c r="C27" s="11" t="s">
        <v>127</v>
      </c>
    </row>
    <row r="28" customFormat="false" ht="14.25" hidden="false" customHeight="true" outlineLevel="0" collapsed="false">
      <c r="A28" s="11" t="s">
        <v>128</v>
      </c>
      <c r="B28" s="8" t="n">
        <f aca="false">COUNTIF(Supuestos!$A$5:$A$100,"SUP-*")</f>
        <v>1</v>
      </c>
      <c r="C28" s="11" t="s">
        <v>129</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7" activePane="bottomLeft" state="frozen"/>
      <selection pane="topLeft" activeCell="A1" activeCellId="0" sqref="A1"/>
      <selection pane="bottomLeft" activeCell="F8" activeCellId="0" sqref="F8"/>
    </sheetView>
  </sheetViews>
  <sheetFormatPr defaultColWidth="8.66796875" defaultRowHeight="14.2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4" min="3" style="1" width="46"/>
    <col collapsed="false" customWidth="true" hidden="false" outlineLevel="0" max="5" min="5" style="1" width="20"/>
    <col collapsed="false" customWidth="true" hidden="false" outlineLevel="0" max="6" min="6" style="1" width="12"/>
  </cols>
  <sheetData>
    <row r="1" customFormat="false" ht="18.75" hidden="false" customHeight="true" outlineLevel="0" collapsed="false">
      <c r="A1" s="2" t="s">
        <v>130</v>
      </c>
    </row>
    <row r="2" customFormat="false" ht="27.75" hidden="false" customHeight="true" outlineLevel="0" collapsed="false">
      <c r="A2" s="21" t="s">
        <v>131</v>
      </c>
      <c r="B2" s="21"/>
      <c r="C2" s="21"/>
      <c r="D2" s="21"/>
      <c r="E2" s="21"/>
    </row>
    <row r="4" customFormat="false" ht="30" hidden="false" customHeight="true" outlineLevel="0" collapsed="false">
      <c r="A4" s="18" t="s">
        <v>132</v>
      </c>
      <c r="B4" s="4" t="s">
        <v>133</v>
      </c>
      <c r="C4" s="18" t="s">
        <v>134</v>
      </c>
      <c r="D4" s="18" t="s">
        <v>135</v>
      </c>
      <c r="E4" s="18" t="s">
        <v>136</v>
      </c>
      <c r="F4" s="18" t="s">
        <v>137</v>
      </c>
      <c r="G4" s="18" t="s">
        <v>138</v>
      </c>
    </row>
    <row r="5" customFormat="false" ht="42" hidden="false" customHeight="true" outlineLevel="0" collapsed="false">
      <c r="A5" s="6" t="s">
        <v>139</v>
      </c>
      <c r="B5" s="7" t="s">
        <v>140</v>
      </c>
      <c r="C5" s="7" t="s">
        <v>141</v>
      </c>
      <c r="D5" s="7" t="s">
        <v>142</v>
      </c>
      <c r="E5" s="7" t="s">
        <v>143</v>
      </c>
      <c r="F5" s="19" t="s">
        <v>144</v>
      </c>
      <c r="G5" s="19" t="s">
        <v>145</v>
      </c>
    </row>
    <row r="6" customFormat="false" ht="42" hidden="false" customHeight="true" outlineLevel="0" collapsed="false">
      <c r="A6" s="6" t="s">
        <v>146</v>
      </c>
      <c r="B6" s="7" t="s">
        <v>147</v>
      </c>
      <c r="C6" s="7" t="s">
        <v>148</v>
      </c>
      <c r="D6" s="7" t="s">
        <v>149</v>
      </c>
      <c r="E6" s="7" t="s">
        <v>150</v>
      </c>
      <c r="F6" s="19" t="s">
        <v>151</v>
      </c>
      <c r="G6" s="19" t="s">
        <v>152</v>
      </c>
    </row>
    <row r="7" customFormat="false" ht="42" hidden="false" customHeight="true" outlineLevel="0" collapsed="false">
      <c r="A7" s="6" t="s">
        <v>153</v>
      </c>
      <c r="B7" s="7" t="s">
        <v>147</v>
      </c>
      <c r="C7" s="7" t="s">
        <v>154</v>
      </c>
      <c r="D7" s="7" t="s">
        <v>155</v>
      </c>
      <c r="E7" s="7" t="s">
        <v>156</v>
      </c>
      <c r="F7" s="19" t="s">
        <v>157</v>
      </c>
      <c r="G7" s="19" t="s">
        <v>158</v>
      </c>
    </row>
    <row r="8" customFormat="false" ht="42" hidden="false" customHeight="true" outlineLevel="0" collapsed="false">
      <c r="A8" s="6" t="s">
        <v>159</v>
      </c>
      <c r="B8" s="7" t="s">
        <v>147</v>
      </c>
      <c r="C8" s="7" t="s">
        <v>160</v>
      </c>
      <c r="D8" s="7" t="s">
        <v>161</v>
      </c>
      <c r="E8" s="7" t="s">
        <v>162</v>
      </c>
      <c r="F8" s="19" t="s">
        <v>163</v>
      </c>
      <c r="G8" s="19" t="s">
        <v>164</v>
      </c>
    </row>
    <row r="9" customFormat="false" ht="129.75" hidden="false" customHeight="true" outlineLevel="0" collapsed="false">
      <c r="A9" s="6" t="s">
        <v>165</v>
      </c>
      <c r="B9" s="7" t="s">
        <v>166</v>
      </c>
      <c r="C9" s="7" t="s">
        <v>167</v>
      </c>
      <c r="D9" s="7" t="s">
        <v>168</v>
      </c>
      <c r="E9" s="7" t="s">
        <v>169</v>
      </c>
      <c r="F9" s="19" t="s">
        <v>170</v>
      </c>
      <c r="G9" s="19" t="s">
        <v>171</v>
      </c>
    </row>
    <row r="10" customFormat="false" ht="42" hidden="false" customHeight="true" outlineLevel="0" collapsed="false">
      <c r="A10" s="6" t="s">
        <v>172</v>
      </c>
      <c r="B10" s="7" t="s">
        <v>173</v>
      </c>
      <c r="C10" s="7" t="s">
        <v>174</v>
      </c>
      <c r="D10" s="7" t="s">
        <v>175</v>
      </c>
      <c r="E10" s="7" t="s">
        <v>176</v>
      </c>
      <c r="F10" s="19" t="s">
        <v>145</v>
      </c>
      <c r="G10" s="19" t="s">
        <v>177</v>
      </c>
    </row>
    <row r="11" customFormat="false" ht="42" hidden="false" customHeight="true" outlineLevel="0" collapsed="false">
      <c r="A11" s="6" t="s">
        <v>178</v>
      </c>
      <c r="B11" s="7" t="s">
        <v>173</v>
      </c>
      <c r="C11" s="7" t="s">
        <v>179</v>
      </c>
      <c r="D11" s="7" t="s">
        <v>180</v>
      </c>
      <c r="E11" s="7" t="s">
        <v>181</v>
      </c>
      <c r="F11" s="19" t="s">
        <v>145</v>
      </c>
      <c r="G11" s="19" t="s">
        <v>182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74.67"/>
    <col collapsed="false" customWidth="true" hidden="false" outlineLevel="0" max="2" min="2" style="1" width="34"/>
    <col collapsed="false" customWidth="true" hidden="false" outlineLevel="0" max="3" min="3" style="1" width="78"/>
    <col collapsed="false" customWidth="true" hidden="false" outlineLevel="0" max="4" min="4" style="1" width="30"/>
    <col collapsed="false" customWidth="true" hidden="false" outlineLevel="0" max="5" min="5" style="1" width="14"/>
    <col collapsed="false" customWidth="true" hidden="false" outlineLevel="0" max="6" min="6" style="1" width="30"/>
  </cols>
  <sheetData>
    <row r="1" customFormat="false" ht="17.25" hidden="false" customHeight="true" outlineLevel="0" collapsed="false">
      <c r="A1" s="22" t="s">
        <v>109</v>
      </c>
    </row>
    <row r="2" customFormat="false" ht="66" hidden="false" customHeight="true" outlineLevel="0" collapsed="false">
      <c r="A2" s="23" t="s">
        <v>183</v>
      </c>
    </row>
    <row r="4" customFormat="false" ht="14.25" hidden="false" customHeight="true" outlineLevel="0" collapsed="false">
      <c r="A4" s="4" t="s">
        <v>184</v>
      </c>
      <c r="B4" s="4" t="s">
        <v>185</v>
      </c>
      <c r="C4" s="4" t="s">
        <v>134</v>
      </c>
      <c r="D4" s="4" t="s">
        <v>186</v>
      </c>
      <c r="E4" s="4" t="s">
        <v>187</v>
      </c>
      <c r="F4" s="4" t="s">
        <v>188</v>
      </c>
    </row>
    <row r="5" customFormat="false" ht="26.25" hidden="false" customHeight="true" outlineLevel="0" collapsed="false">
      <c r="A5" s="7" t="s">
        <v>189</v>
      </c>
      <c r="B5" s="7" t="s">
        <v>190</v>
      </c>
      <c r="C5" s="7" t="s">
        <v>191</v>
      </c>
      <c r="D5" s="7" t="s">
        <v>192</v>
      </c>
      <c r="E5" s="7" t="s">
        <v>144</v>
      </c>
      <c r="F5" s="7" t="s">
        <v>193</v>
      </c>
    </row>
    <row r="6" customFormat="false" ht="26.25" hidden="false" customHeight="true" outlineLevel="0" collapsed="false">
      <c r="A6" s="7" t="s">
        <v>194</v>
      </c>
      <c r="B6" s="7" t="s">
        <v>195</v>
      </c>
      <c r="C6" s="7" t="s">
        <v>196</v>
      </c>
      <c r="D6" s="7" t="s">
        <v>192</v>
      </c>
      <c r="E6" s="7" t="s">
        <v>144</v>
      </c>
      <c r="F6" s="7" t="s">
        <v>197</v>
      </c>
    </row>
    <row r="7" customFormat="false" ht="26.25" hidden="false" customHeight="true" outlineLevel="0" collapsed="false">
      <c r="A7" s="7" t="s">
        <v>198</v>
      </c>
      <c r="B7" s="7" t="s">
        <v>199</v>
      </c>
      <c r="C7" s="7" t="s">
        <v>200</v>
      </c>
      <c r="D7" s="7" t="s">
        <v>192</v>
      </c>
      <c r="E7" s="7" t="s">
        <v>144</v>
      </c>
      <c r="F7" s="7" t="s">
        <v>201</v>
      </c>
    </row>
    <row r="8" customFormat="false" ht="26.25" hidden="false" customHeight="true" outlineLevel="0" collapsed="false">
      <c r="A8" s="7" t="s">
        <v>202</v>
      </c>
      <c r="B8" s="7" t="s">
        <v>203</v>
      </c>
      <c r="C8" s="7" t="s">
        <v>204</v>
      </c>
      <c r="D8" s="7" t="s">
        <v>205</v>
      </c>
      <c r="E8" s="7" t="s">
        <v>144</v>
      </c>
      <c r="F8" s="7" t="s">
        <v>206</v>
      </c>
    </row>
    <row r="9" customFormat="false" ht="14.25" hidden="false" customHeight="true" outlineLevel="0" collapsed="false">
      <c r="A9" s="7" t="s">
        <v>207</v>
      </c>
      <c r="B9" s="7" t="s">
        <v>208</v>
      </c>
      <c r="C9" s="7" t="s">
        <v>209</v>
      </c>
      <c r="D9" s="7" t="s">
        <v>210</v>
      </c>
      <c r="E9" s="7" t="s">
        <v>211</v>
      </c>
      <c r="F9" s="7" t="s">
        <v>212</v>
      </c>
    </row>
    <row r="10" customFormat="false" ht="26.25" hidden="false" customHeight="true" outlineLevel="0" collapsed="false">
      <c r="A10" s="7" t="s">
        <v>213</v>
      </c>
      <c r="B10" s="7" t="s">
        <v>214</v>
      </c>
      <c r="C10" s="7" t="s">
        <v>215</v>
      </c>
      <c r="D10" s="7" t="s">
        <v>210</v>
      </c>
      <c r="E10" s="7" t="s">
        <v>216</v>
      </c>
      <c r="F10" s="7" t="s">
        <v>217</v>
      </c>
    </row>
    <row r="11" customFormat="false" ht="26.25" hidden="false" customHeight="true" outlineLevel="0" collapsed="false">
      <c r="A11" s="7" t="s">
        <v>218</v>
      </c>
      <c r="B11" s="7" t="s">
        <v>219</v>
      </c>
      <c r="C11" s="7" t="s">
        <v>220</v>
      </c>
      <c r="D11" s="7" t="s">
        <v>221</v>
      </c>
      <c r="E11" s="7" t="s">
        <v>211</v>
      </c>
      <c r="F11" s="7" t="s">
        <v>222</v>
      </c>
    </row>
    <row r="12" customFormat="false" ht="26.25" hidden="false" customHeight="true" outlineLevel="0" collapsed="false">
      <c r="A12" s="7" t="s">
        <v>223</v>
      </c>
      <c r="B12" s="7" t="s">
        <v>224</v>
      </c>
      <c r="C12" s="7" t="s">
        <v>225</v>
      </c>
      <c r="D12" s="7" t="s">
        <v>226</v>
      </c>
      <c r="E12" s="7" t="s">
        <v>211</v>
      </c>
      <c r="F12" s="7" t="s">
        <v>227</v>
      </c>
    </row>
    <row r="13" customFormat="false" ht="26.25" hidden="false" customHeight="true" outlineLevel="0" collapsed="false">
      <c r="A13" s="7" t="s">
        <v>228</v>
      </c>
      <c r="B13" s="7" t="s">
        <v>229</v>
      </c>
      <c r="C13" s="7" t="s">
        <v>230</v>
      </c>
      <c r="D13" s="7" t="s">
        <v>226</v>
      </c>
      <c r="E13" s="7" t="s">
        <v>231</v>
      </c>
      <c r="F13" s="7" t="s">
        <v>232</v>
      </c>
    </row>
    <row r="14" customFormat="false" ht="26.25" hidden="false" customHeight="true" outlineLevel="0" collapsed="false">
      <c r="A14" s="7" t="s">
        <v>233</v>
      </c>
      <c r="B14" s="7" t="s">
        <v>234</v>
      </c>
      <c r="C14" s="7" t="s">
        <v>235</v>
      </c>
      <c r="D14" s="7" t="s">
        <v>236</v>
      </c>
      <c r="E14" s="7" t="s">
        <v>231</v>
      </c>
      <c r="F14" s="7" t="s">
        <v>237</v>
      </c>
    </row>
    <row r="15" customFormat="false" ht="26.25" hidden="false" customHeight="true" outlineLevel="0" collapsed="false">
      <c r="A15" s="7" t="s">
        <v>238</v>
      </c>
      <c r="B15" s="7" t="s">
        <v>239</v>
      </c>
      <c r="C15" s="7" t="s">
        <v>240</v>
      </c>
      <c r="D15" s="7" t="s">
        <v>241</v>
      </c>
      <c r="E15" s="7" t="s">
        <v>170</v>
      </c>
      <c r="F15" s="7" t="s">
        <v>242</v>
      </c>
    </row>
    <row r="16" customFormat="false" ht="26.25" hidden="false" customHeight="true" outlineLevel="0" collapsed="false">
      <c r="A16" s="7" t="s">
        <v>243</v>
      </c>
      <c r="B16" s="7" t="s">
        <v>244</v>
      </c>
      <c r="C16" s="7" t="s">
        <v>245</v>
      </c>
      <c r="D16" s="7" t="s">
        <v>246</v>
      </c>
      <c r="E16" s="7" t="s">
        <v>170</v>
      </c>
      <c r="F16" s="7" t="s">
        <v>247</v>
      </c>
    </row>
    <row r="17" customFormat="false" ht="26.25" hidden="false" customHeight="true" outlineLevel="0" collapsed="false">
      <c r="A17" s="7" t="s">
        <v>248</v>
      </c>
      <c r="B17" s="7" t="s">
        <v>249</v>
      </c>
      <c r="C17" s="7" t="s">
        <v>250</v>
      </c>
      <c r="D17" s="7" t="s">
        <v>241</v>
      </c>
      <c r="E17" s="7" t="s">
        <v>170</v>
      </c>
      <c r="F17" s="7" t="s">
        <v>251</v>
      </c>
    </row>
    <row r="18" customFormat="false" ht="26.25" hidden="false" customHeight="true" outlineLevel="0" collapsed="false">
      <c r="A18" s="7" t="s">
        <v>252</v>
      </c>
      <c r="B18" s="7" t="s">
        <v>253</v>
      </c>
      <c r="C18" s="7" t="s">
        <v>254</v>
      </c>
      <c r="D18" s="7" t="s">
        <v>221</v>
      </c>
      <c r="E18" s="7" t="s">
        <v>255</v>
      </c>
      <c r="F18" s="7" t="s">
        <v>256</v>
      </c>
    </row>
    <row r="19" customFormat="false" ht="26.25" hidden="false" customHeight="true" outlineLevel="0" collapsed="false">
      <c r="A19" s="7" t="s">
        <v>257</v>
      </c>
      <c r="B19" s="7" t="s">
        <v>258</v>
      </c>
      <c r="C19" s="7" t="s">
        <v>259</v>
      </c>
      <c r="D19" s="7" t="s">
        <v>260</v>
      </c>
      <c r="E19" s="7" t="s">
        <v>261</v>
      </c>
      <c r="F19" s="7" t="s">
        <v>262</v>
      </c>
    </row>
    <row r="20" customFormat="false" ht="26.25" hidden="false" customHeight="true" outlineLevel="0" collapsed="false">
      <c r="A20" s="7" t="s">
        <v>263</v>
      </c>
      <c r="B20" s="7" t="s">
        <v>264</v>
      </c>
      <c r="C20" s="7" t="s">
        <v>265</v>
      </c>
      <c r="D20" s="7" t="s">
        <v>266</v>
      </c>
      <c r="E20" s="7" t="s">
        <v>170</v>
      </c>
      <c r="F20" s="7" t="s">
        <v>267</v>
      </c>
    </row>
    <row r="21" customFormat="false" ht="26.25" hidden="false" customHeight="true" outlineLevel="0" collapsed="false">
      <c r="A21" s="7" t="s">
        <v>268</v>
      </c>
      <c r="B21" s="7" t="s">
        <v>269</v>
      </c>
      <c r="C21" s="7" t="s">
        <v>270</v>
      </c>
      <c r="D21" s="7" t="s">
        <v>271</v>
      </c>
      <c r="E21" s="7" t="s">
        <v>272</v>
      </c>
      <c r="F21" s="7" t="s">
        <v>273</v>
      </c>
    </row>
    <row r="22" customFormat="false" ht="26.25" hidden="false" customHeight="true" outlineLevel="0" collapsed="false">
      <c r="A22" s="7" t="s">
        <v>274</v>
      </c>
      <c r="B22" s="7" t="s">
        <v>275</v>
      </c>
      <c r="C22" s="7" t="s">
        <v>276</v>
      </c>
      <c r="D22" s="7" t="s">
        <v>277</v>
      </c>
      <c r="E22" s="7" t="s">
        <v>278</v>
      </c>
      <c r="F22" s="7" t="s">
        <v>279</v>
      </c>
    </row>
    <row r="23" customFormat="false" ht="26.25" hidden="false" customHeight="true" outlineLevel="0" collapsed="false">
      <c r="A23" s="7" t="s">
        <v>280</v>
      </c>
      <c r="B23" s="7" t="s">
        <v>281</v>
      </c>
      <c r="C23" s="7" t="s">
        <v>282</v>
      </c>
      <c r="D23" s="7" t="s">
        <v>283</v>
      </c>
      <c r="E23" s="7" t="s">
        <v>278</v>
      </c>
      <c r="F23" s="7" t="s">
        <v>284</v>
      </c>
    </row>
    <row r="24" customFormat="false" ht="26.25" hidden="false" customHeight="true" outlineLevel="0" collapsed="false">
      <c r="A24" s="7" t="s">
        <v>285</v>
      </c>
      <c r="B24" s="7" t="s">
        <v>286</v>
      </c>
      <c r="C24" s="7" t="s">
        <v>287</v>
      </c>
      <c r="D24" s="7" t="s">
        <v>288</v>
      </c>
      <c r="E24" s="7" t="s">
        <v>278</v>
      </c>
      <c r="F24" s="7" t="s">
        <v>289</v>
      </c>
    </row>
    <row r="25" customFormat="false" ht="39" hidden="false" customHeight="true" outlineLevel="0" collapsed="false">
      <c r="A25" s="24" t="s">
        <v>290</v>
      </c>
      <c r="B25" s="24" t="s">
        <v>291</v>
      </c>
      <c r="C25" s="24" t="s">
        <v>292</v>
      </c>
      <c r="D25" s="24" t="s">
        <v>293</v>
      </c>
      <c r="E25" s="24" t="s">
        <v>294</v>
      </c>
      <c r="F25" s="24" t="s">
        <v>295</v>
      </c>
    </row>
    <row r="26" customFormat="false" ht="39" hidden="false" customHeight="true" outlineLevel="0" collapsed="false">
      <c r="A26" s="24" t="s">
        <v>296</v>
      </c>
      <c r="B26" s="24" t="s">
        <v>297</v>
      </c>
      <c r="C26" s="24" t="s">
        <v>298</v>
      </c>
      <c r="D26" s="24" t="s">
        <v>293</v>
      </c>
      <c r="E26" s="24" t="s">
        <v>170</v>
      </c>
      <c r="F26" s="24" t="s">
        <v>299</v>
      </c>
    </row>
    <row r="28" customFormat="false" ht="14.25" hidden="false" customHeight="true" outlineLevel="0" collapsed="false">
      <c r="A28" s="25"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9"/>
    <col collapsed="false" customWidth="true" hidden="false" outlineLevel="0" max="2" min="2" style="1" width="32"/>
    <col collapsed="false" customWidth="true" hidden="false" outlineLevel="0" max="3" min="3" style="1" width="62"/>
    <col collapsed="false" customWidth="true" hidden="false" outlineLevel="0" max="4" min="4" style="1" width="56"/>
    <col collapsed="false" customWidth="true" hidden="false" outlineLevel="0" max="5" min="5" style="1" width="12"/>
    <col collapsed="false" customWidth="true" hidden="false" outlineLevel="0" max="6" min="6" style="1" width="10"/>
    <col collapsed="false" customWidth="true" hidden="false" outlineLevel="0" max="7" min="7" style="1" width="11"/>
  </cols>
  <sheetData>
    <row r="1" customFormat="false" ht="18.75" hidden="false" customHeight="true" outlineLevel="0" collapsed="false">
      <c r="A1" s="2" t="s">
        <v>8</v>
      </c>
    </row>
    <row r="2" customFormat="false" ht="27.75" hidden="false" customHeight="true" outlineLevel="0" collapsed="false">
      <c r="A2" s="16" t="s">
        <v>301</v>
      </c>
      <c r="B2" s="16"/>
      <c r="C2" s="16"/>
      <c r="D2" s="16"/>
      <c r="E2" s="16"/>
      <c r="F2" s="16"/>
      <c r="G2" s="16"/>
    </row>
    <row r="4" customFormat="false" ht="30" hidden="false" customHeight="true" outlineLevel="0" collapsed="false">
      <c r="A4" s="18" t="s">
        <v>184</v>
      </c>
      <c r="B4" s="18" t="s">
        <v>302</v>
      </c>
      <c r="C4" s="18" t="s">
        <v>134</v>
      </c>
      <c r="D4" s="18" t="s">
        <v>303</v>
      </c>
      <c r="E4" s="18" t="s">
        <v>304</v>
      </c>
      <c r="F4" s="18" t="s">
        <v>305</v>
      </c>
      <c r="G4" s="18" t="s">
        <v>306</v>
      </c>
    </row>
    <row r="5" customFormat="false" ht="117" hidden="false" customHeight="true" outlineLevel="0" collapsed="false">
      <c r="A5" s="26" t="s">
        <v>144</v>
      </c>
      <c r="B5" s="6" t="s">
        <v>307</v>
      </c>
      <c r="C5" s="7" t="s">
        <v>308</v>
      </c>
      <c r="D5" s="7" t="s">
        <v>309</v>
      </c>
      <c r="E5" s="19" t="n">
        <f aca="false">COUNTIF('Historias de Usuario'!$B$5:$B$200,$A5)</f>
        <v>9</v>
      </c>
      <c r="F5" s="19" t="n">
        <f aca="false">SUMIF('Historias de Usuario'!$B$5:$B$200,$A5,'Historias de Usuario'!$K$5:$K$200)</f>
        <v>30</v>
      </c>
      <c r="G5" s="20" t="n">
        <f aca="false">IFERROR(F5/SUM($F$5:$F$12),0)</f>
        <v>0.160427807486631</v>
      </c>
    </row>
    <row r="6" customFormat="false" ht="117" hidden="false" customHeight="true" outlineLevel="0" collapsed="false">
      <c r="A6" s="26" t="s">
        <v>211</v>
      </c>
      <c r="B6" s="6" t="s">
        <v>310</v>
      </c>
      <c r="C6" s="7" t="s">
        <v>311</v>
      </c>
      <c r="D6" s="7" t="s">
        <v>312</v>
      </c>
      <c r="E6" s="19" t="n">
        <f aca="false">COUNTIF('Historias de Usuario'!$B$5:$B$200,$A6)</f>
        <v>5</v>
      </c>
      <c r="F6" s="19" t="n">
        <f aca="false">SUMIF('Historias de Usuario'!$B$5:$B$200,$A6,'Historias de Usuario'!$K$5:$K$200)</f>
        <v>21</v>
      </c>
      <c r="G6" s="20" t="n">
        <f aca="false">IFERROR(F6/SUM($F$5:$F$12),0)</f>
        <v>0.112299465240642</v>
      </c>
    </row>
    <row r="7" customFormat="false" ht="117" hidden="false" customHeight="true" outlineLevel="0" collapsed="false">
      <c r="A7" s="26" t="s">
        <v>231</v>
      </c>
      <c r="B7" s="6" t="s">
        <v>229</v>
      </c>
      <c r="C7" s="7" t="s">
        <v>313</v>
      </c>
      <c r="D7" s="7" t="s">
        <v>314</v>
      </c>
      <c r="E7" s="19" t="n">
        <f aca="false">COUNTIF('Historias de Usuario'!$B$5:$B$200,$A7)</f>
        <v>10</v>
      </c>
      <c r="F7" s="19" t="n">
        <f aca="false">SUMIF('Historias de Usuario'!$B$5:$B$200,$A7,'Historias de Usuario'!$K$5:$K$200)</f>
        <v>36</v>
      </c>
      <c r="G7" s="20" t="n">
        <f aca="false">IFERROR(F7/SUM($F$5:$F$12),0)</f>
        <v>0.192513368983957</v>
      </c>
    </row>
    <row r="8" customFormat="false" ht="117" hidden="false" customHeight="true" outlineLevel="0" collapsed="false">
      <c r="A8" s="26" t="s">
        <v>170</v>
      </c>
      <c r="B8" s="6" t="s">
        <v>315</v>
      </c>
      <c r="C8" s="7" t="s">
        <v>316</v>
      </c>
      <c r="D8" s="7" t="s">
        <v>317</v>
      </c>
      <c r="E8" s="19" t="n">
        <f aca="false">COUNTIF('Historias de Usuario'!$B$5:$B$200,$A8)</f>
        <v>9</v>
      </c>
      <c r="F8" s="19" t="n">
        <f aca="false">SUMIF('Historias de Usuario'!$B$5:$B$200,$A8,'Historias de Usuario'!$K$5:$K$200)</f>
        <v>42</v>
      </c>
      <c r="G8" s="20" t="n">
        <f aca="false">IFERROR(F8/SUM($F$5:$F$12),0)</f>
        <v>0.224598930481283</v>
      </c>
    </row>
    <row r="9" customFormat="false" ht="117" hidden="false" customHeight="true" outlineLevel="0" collapsed="false">
      <c r="A9" s="26" t="s">
        <v>255</v>
      </c>
      <c r="B9" s="6" t="s">
        <v>318</v>
      </c>
      <c r="C9" s="7" t="s">
        <v>319</v>
      </c>
      <c r="D9" s="7" t="s">
        <v>320</v>
      </c>
      <c r="E9" s="19" t="n">
        <f aca="false">COUNTIF('Historias de Usuario'!$B$5:$B$200,$A9)</f>
        <v>5</v>
      </c>
      <c r="F9" s="19" t="n">
        <f aca="false">SUMIF('Historias de Usuario'!$B$5:$B$200,$A9,'Historias de Usuario'!$K$5:$K$200)</f>
        <v>23</v>
      </c>
      <c r="G9" s="20" t="n">
        <f aca="false">IFERROR(F9/SUM($F$5:$F$12),0)</f>
        <v>0.122994652406417</v>
      </c>
    </row>
    <row r="10" customFormat="false" ht="117" hidden="false" customHeight="true" outlineLevel="0" collapsed="false">
      <c r="A10" s="26" t="s">
        <v>261</v>
      </c>
      <c r="B10" s="6" t="s">
        <v>321</v>
      </c>
      <c r="C10" s="7" t="s">
        <v>322</v>
      </c>
      <c r="D10" s="7" t="s">
        <v>323</v>
      </c>
      <c r="E10" s="19" t="n">
        <f aca="false">COUNTIF('Historias de Usuario'!$B$5:$B$200,$A10)</f>
        <v>3</v>
      </c>
      <c r="F10" s="19" t="n">
        <f aca="false">SUMIF('Historias de Usuario'!$B$5:$B$200,$A10,'Historias de Usuario'!$K$5:$K$200)</f>
        <v>9</v>
      </c>
      <c r="G10" s="20" t="n">
        <f aca="false">IFERROR(F10/SUM($F$5:$F$12),0)</f>
        <v>0.0481283422459893</v>
      </c>
    </row>
    <row r="11" customFormat="false" ht="117" hidden="false" customHeight="true" outlineLevel="0" collapsed="false">
      <c r="A11" s="26" t="s">
        <v>272</v>
      </c>
      <c r="B11" s="6" t="s">
        <v>324</v>
      </c>
      <c r="C11" s="7" t="s">
        <v>325</v>
      </c>
      <c r="D11" s="7" t="s">
        <v>326</v>
      </c>
      <c r="E11" s="19" t="n">
        <f aca="false">COUNTIF('Historias de Usuario'!$B$5:$B$200,$A11)</f>
        <v>3</v>
      </c>
      <c r="F11" s="19" t="n">
        <f aca="false">SUMIF('Historias de Usuario'!$B$5:$B$200,$A11,'Historias de Usuario'!$K$5:$K$200)</f>
        <v>13</v>
      </c>
      <c r="G11" s="20" t="n">
        <f aca="false">IFERROR(F11/SUM($F$5:$F$12),0)</f>
        <v>0.0695187165775401</v>
      </c>
    </row>
    <row r="12" customFormat="false" ht="117" hidden="false" customHeight="true" outlineLevel="0" collapsed="false">
      <c r="A12" s="26" t="s">
        <v>278</v>
      </c>
      <c r="B12" s="6" t="s">
        <v>327</v>
      </c>
      <c r="C12" s="7" t="s">
        <v>328</v>
      </c>
      <c r="D12" s="7" t="s">
        <v>329</v>
      </c>
      <c r="E12" s="19" t="n">
        <f aca="false">COUNTIF('Historias de Usuario'!$B$5:$B$200,$A12)</f>
        <v>3</v>
      </c>
      <c r="F12" s="19" t="n">
        <f aca="false">SUMIF('Historias de Usuario'!$B$5:$B$200,$A12,'Historias de Usuario'!$K$5:$K$200)</f>
        <v>13</v>
      </c>
      <c r="G12" s="20" t="n">
        <f aca="false">IFERROR(F12/SUM($F$5:$F$12),0)</f>
        <v>0.0695187165775401</v>
      </c>
    </row>
    <row r="13" customFormat="false" ht="30" hidden="false" customHeight="true" outlineLevel="0" collapsed="false">
      <c r="A13" s="27" t="s">
        <v>330</v>
      </c>
      <c r="B13" s="28"/>
      <c r="C13" s="28"/>
      <c r="D13" s="28"/>
      <c r="E13" s="27" t="n">
        <f aca="false">SUM(E5:E12)</f>
        <v>47</v>
      </c>
      <c r="F13" s="27" t="n">
        <f aca="false">SUM(F5:F12)</f>
        <v>187</v>
      </c>
      <c r="G13" s="29" t="n">
        <f aca="false">SUM(G5:G12)</f>
        <v>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O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N17" activePane="bottomRight" state="frozen"/>
      <selection pane="topLeft" activeCell="A1" activeCellId="0" sqref="A1"/>
      <selection pane="topRight" activeCell="N1" activeCellId="0" sqref="N1"/>
      <selection pane="bottomLeft" activeCell="A17" activeCellId="0" sqref="A17"/>
      <selection pane="bottomRight" activeCell="N18" activeCellId="0" sqref="N18"/>
    </sheetView>
  </sheetViews>
  <sheetFormatPr defaultColWidth="8.66796875" defaultRowHeight="14.25" zeroHeight="false" outlineLevelRow="0" outlineLevelCol="0"/>
  <cols>
    <col collapsed="false" customWidth="true" hidden="false" outlineLevel="0" max="2" min="1" style="1" width="10"/>
    <col collapsed="false" customWidth="true" hidden="false" outlineLevel="0" max="3" min="3" style="1" width="20"/>
    <col collapsed="false" customWidth="true" hidden="false" outlineLevel="0" max="4" min="4" style="1" width="5.44"/>
    <col collapsed="false" customWidth="true" hidden="false" outlineLevel="0" max="5" min="5" style="1" width="24"/>
    <col collapsed="false" customWidth="true" hidden="false" outlineLevel="0" max="7" min="6" style="1" width="40"/>
    <col collapsed="false" customWidth="true" hidden="false" outlineLevel="0" max="8" min="8" style="1" width="78"/>
    <col collapsed="false" customWidth="true" hidden="false" outlineLevel="0" max="9" min="9" style="1" width="74"/>
    <col collapsed="false" customWidth="true" hidden="false" outlineLevel="0" max="10" min="10" style="1" width="11"/>
    <col collapsed="false" customWidth="true" hidden="false" outlineLevel="0" max="11" min="11" style="1" width="9"/>
    <col collapsed="false" customWidth="true" hidden="false" outlineLevel="0" max="12" min="12" style="1" width="13"/>
    <col collapsed="false" customWidth="true" hidden="false" outlineLevel="0" max="13" min="13" style="1" width="16"/>
    <col collapsed="false" customWidth="true" hidden="false" outlineLevel="0" max="14" min="14" style="1" width="34"/>
    <col collapsed="false" customWidth="true" hidden="false" outlineLevel="0" max="15" min="15" style="1" width="14"/>
  </cols>
  <sheetData>
    <row r="1" customFormat="false" ht="18.75" hidden="false" customHeight="true" outlineLevel="0" collapsed="false">
      <c r="A1" s="2" t="s">
        <v>331</v>
      </c>
    </row>
    <row r="2" customFormat="false" ht="27.75" hidden="false" customHeight="true" outlineLevel="0" collapsed="false">
      <c r="A2" s="16" t="s">
        <v>332</v>
      </c>
      <c r="B2" s="16"/>
      <c r="C2" s="16"/>
      <c r="D2" s="16"/>
      <c r="E2" s="16"/>
      <c r="F2" s="16"/>
      <c r="G2" s="16"/>
      <c r="H2" s="16"/>
      <c r="I2" s="16"/>
      <c r="J2" s="16"/>
      <c r="K2" s="16"/>
      <c r="L2" s="16"/>
      <c r="M2" s="16"/>
      <c r="N2" s="16"/>
    </row>
    <row r="3" customFormat="false" ht="15" hidden="false" customHeight="true" outlineLevel="0" collapsed="false">
      <c r="A3" s="17" t="s">
        <v>333</v>
      </c>
    </row>
    <row r="4" customFormat="false" ht="42" hidden="false" customHeight="true" outlineLevel="0" collapsed="false">
      <c r="A4" s="18" t="s">
        <v>184</v>
      </c>
      <c r="B4" s="18" t="s">
        <v>187</v>
      </c>
      <c r="C4" s="30" t="s">
        <v>334</v>
      </c>
      <c r="D4" s="18" t="s">
        <v>335</v>
      </c>
      <c r="E4" s="30" t="s">
        <v>336</v>
      </c>
      <c r="F4" s="30" t="s">
        <v>337</v>
      </c>
      <c r="G4" s="30" t="s">
        <v>338</v>
      </c>
      <c r="H4" s="30" t="s">
        <v>339</v>
      </c>
      <c r="I4" s="30" t="s">
        <v>340</v>
      </c>
      <c r="J4" s="18" t="s">
        <v>341</v>
      </c>
      <c r="K4" s="18" t="s">
        <v>305</v>
      </c>
      <c r="L4" s="18" t="s">
        <v>342</v>
      </c>
      <c r="M4" s="18" t="s">
        <v>343</v>
      </c>
      <c r="N4" s="18" t="s">
        <v>344</v>
      </c>
      <c r="O4" s="30" t="s">
        <v>138</v>
      </c>
    </row>
    <row r="5" customFormat="false" ht="92.25" hidden="false" customHeight="true" outlineLevel="0" collapsed="false">
      <c r="A5" s="26" t="s">
        <v>345</v>
      </c>
      <c r="B5" s="31" t="s">
        <v>144</v>
      </c>
      <c r="C5" s="7" t="s">
        <v>139</v>
      </c>
      <c r="D5" s="6" t="s">
        <v>346</v>
      </c>
      <c r="E5" s="7" t="s">
        <v>347</v>
      </c>
      <c r="F5" s="7" t="s">
        <v>348</v>
      </c>
      <c r="G5" s="7" t="s">
        <v>349</v>
      </c>
      <c r="H5" s="7" t="s">
        <v>350</v>
      </c>
      <c r="I5" s="7" t="s">
        <v>351</v>
      </c>
      <c r="J5" s="31" t="s">
        <v>352</v>
      </c>
      <c r="K5" s="31" t="n">
        <v>5</v>
      </c>
      <c r="L5" s="31" t="s">
        <v>353</v>
      </c>
      <c r="M5" s="19" t="s">
        <v>279</v>
      </c>
      <c r="N5" s="7" t="s">
        <v>354</v>
      </c>
      <c r="O5" s="19" t="s">
        <v>145</v>
      </c>
    </row>
    <row r="6" customFormat="false" ht="67.5" hidden="false" customHeight="true" outlineLevel="0" collapsed="false">
      <c r="A6" s="26" t="s">
        <v>355</v>
      </c>
      <c r="B6" s="31" t="s">
        <v>144</v>
      </c>
      <c r="C6" s="7" t="s">
        <v>139</v>
      </c>
      <c r="D6" s="6" t="s">
        <v>356</v>
      </c>
      <c r="E6" s="7" t="s">
        <v>357</v>
      </c>
      <c r="F6" s="7" t="s">
        <v>358</v>
      </c>
      <c r="G6" s="7" t="s">
        <v>359</v>
      </c>
      <c r="H6" s="7" t="s">
        <v>360</v>
      </c>
      <c r="I6" s="7" t="s">
        <v>361</v>
      </c>
      <c r="J6" s="31" t="s">
        <v>352</v>
      </c>
      <c r="K6" s="31" t="n">
        <v>3</v>
      </c>
      <c r="L6" s="31" t="s">
        <v>353</v>
      </c>
      <c r="M6" s="19" t="s">
        <v>279</v>
      </c>
      <c r="N6" s="7" t="s">
        <v>362</v>
      </c>
      <c r="O6" s="19" t="s">
        <v>145</v>
      </c>
    </row>
    <row r="7" customFormat="false" ht="54.75" hidden="false" customHeight="true" outlineLevel="0" collapsed="false">
      <c r="A7" s="26" t="s">
        <v>363</v>
      </c>
      <c r="B7" s="31" t="s">
        <v>144</v>
      </c>
      <c r="C7" s="7" t="s">
        <v>364</v>
      </c>
      <c r="D7" s="6" t="s">
        <v>365</v>
      </c>
      <c r="E7" s="7" t="s">
        <v>366</v>
      </c>
      <c r="F7" s="7" t="s">
        <v>367</v>
      </c>
      <c r="G7" s="7" t="s">
        <v>368</v>
      </c>
      <c r="H7" s="7" t="s">
        <v>369</v>
      </c>
      <c r="I7" s="7" t="s">
        <v>370</v>
      </c>
      <c r="J7" s="31" t="s">
        <v>352</v>
      </c>
      <c r="K7" s="31" t="n">
        <v>3</v>
      </c>
      <c r="L7" s="31" t="s">
        <v>353</v>
      </c>
      <c r="M7" s="19" t="s">
        <v>193</v>
      </c>
      <c r="N7" s="7" t="s">
        <v>371</v>
      </c>
      <c r="O7" s="19" t="s">
        <v>372</v>
      </c>
    </row>
    <row r="8" customFormat="false" ht="67.5" hidden="false" customHeight="true" outlineLevel="0" collapsed="false">
      <c r="A8" s="26" t="s">
        <v>107</v>
      </c>
      <c r="B8" s="31" t="s">
        <v>144</v>
      </c>
      <c r="C8" s="7" t="s">
        <v>364</v>
      </c>
      <c r="D8" s="6" t="s">
        <v>373</v>
      </c>
      <c r="E8" s="7" t="s">
        <v>374</v>
      </c>
      <c r="F8" s="7" t="s">
        <v>375</v>
      </c>
      <c r="G8" s="7" t="s">
        <v>376</v>
      </c>
      <c r="H8" s="7" t="s">
        <v>377</v>
      </c>
      <c r="I8" s="7" t="s">
        <v>378</v>
      </c>
      <c r="J8" s="31" t="s">
        <v>352</v>
      </c>
      <c r="K8" s="31" t="n">
        <v>2</v>
      </c>
      <c r="L8" s="31" t="s">
        <v>353</v>
      </c>
      <c r="M8" s="19" t="s">
        <v>363</v>
      </c>
      <c r="N8" s="7" t="s">
        <v>379</v>
      </c>
      <c r="O8" s="19" t="s">
        <v>372</v>
      </c>
    </row>
    <row r="9" customFormat="false" ht="42" hidden="false" customHeight="true" outlineLevel="0" collapsed="false">
      <c r="A9" s="26" t="s">
        <v>380</v>
      </c>
      <c r="B9" s="31" t="s">
        <v>144</v>
      </c>
      <c r="C9" s="7" t="s">
        <v>364</v>
      </c>
      <c r="D9" s="6" t="s">
        <v>381</v>
      </c>
      <c r="E9" s="7" t="s">
        <v>382</v>
      </c>
      <c r="F9" s="7" t="s">
        <v>383</v>
      </c>
      <c r="G9" s="7" t="s">
        <v>384</v>
      </c>
      <c r="H9" s="7" t="s">
        <v>385</v>
      </c>
      <c r="I9" s="7" t="s">
        <v>386</v>
      </c>
      <c r="J9" s="31" t="s">
        <v>387</v>
      </c>
      <c r="K9" s="31" t="n">
        <v>3</v>
      </c>
      <c r="L9" s="31" t="s">
        <v>353</v>
      </c>
      <c r="M9" s="19" t="s">
        <v>363</v>
      </c>
      <c r="N9" s="7" t="s">
        <v>388</v>
      </c>
      <c r="O9" s="19" t="s">
        <v>372</v>
      </c>
    </row>
    <row r="10" customFormat="false" ht="30" hidden="false" customHeight="true" outlineLevel="0" collapsed="false">
      <c r="A10" s="26" t="s">
        <v>389</v>
      </c>
      <c r="B10" s="31" t="s">
        <v>144</v>
      </c>
      <c r="C10" s="7" t="s">
        <v>364</v>
      </c>
      <c r="D10" s="6" t="s">
        <v>390</v>
      </c>
      <c r="E10" s="7" t="s">
        <v>374</v>
      </c>
      <c r="F10" s="7" t="s">
        <v>391</v>
      </c>
      <c r="G10" s="7" t="s">
        <v>392</v>
      </c>
      <c r="H10" s="7" t="s">
        <v>393</v>
      </c>
      <c r="I10" s="7" t="s">
        <v>394</v>
      </c>
      <c r="J10" s="31" t="s">
        <v>387</v>
      </c>
      <c r="K10" s="31" t="n">
        <v>3</v>
      </c>
      <c r="L10" s="31" t="s">
        <v>353</v>
      </c>
      <c r="M10" s="19" t="s">
        <v>363</v>
      </c>
      <c r="N10" s="7" t="s">
        <v>395</v>
      </c>
      <c r="O10" s="19" t="s">
        <v>372</v>
      </c>
    </row>
    <row r="11" customFormat="false" ht="54.75" hidden="false" customHeight="true" outlineLevel="0" collapsed="false">
      <c r="A11" s="26" t="s">
        <v>396</v>
      </c>
      <c r="B11" s="31" t="s">
        <v>211</v>
      </c>
      <c r="C11" s="7" t="s">
        <v>146</v>
      </c>
      <c r="D11" s="6" t="s">
        <v>397</v>
      </c>
      <c r="E11" s="7" t="s">
        <v>398</v>
      </c>
      <c r="F11" s="7" t="s">
        <v>399</v>
      </c>
      <c r="G11" s="7" t="s">
        <v>400</v>
      </c>
      <c r="H11" s="7" t="s">
        <v>401</v>
      </c>
      <c r="I11" s="7" t="s">
        <v>402</v>
      </c>
      <c r="J11" s="31" t="s">
        <v>352</v>
      </c>
      <c r="K11" s="31" t="n">
        <v>5</v>
      </c>
      <c r="L11" s="31" t="s">
        <v>353</v>
      </c>
      <c r="M11" s="19" t="s">
        <v>345</v>
      </c>
      <c r="N11" s="7" t="s">
        <v>403</v>
      </c>
      <c r="O11" s="19" t="s">
        <v>152</v>
      </c>
    </row>
    <row r="12" customFormat="false" ht="79.5" hidden="false" customHeight="true" outlineLevel="0" collapsed="false">
      <c r="A12" s="26" t="s">
        <v>404</v>
      </c>
      <c r="B12" s="31" t="s">
        <v>211</v>
      </c>
      <c r="C12" s="7" t="s">
        <v>405</v>
      </c>
      <c r="D12" s="6" t="s">
        <v>406</v>
      </c>
      <c r="E12" s="7" t="s">
        <v>398</v>
      </c>
      <c r="F12" s="7" t="s">
        <v>407</v>
      </c>
      <c r="G12" s="7" t="s">
        <v>408</v>
      </c>
      <c r="H12" s="7" t="s">
        <v>409</v>
      </c>
      <c r="I12" s="7" t="s">
        <v>410</v>
      </c>
      <c r="J12" s="31" t="s">
        <v>352</v>
      </c>
      <c r="K12" s="31" t="n">
        <v>5</v>
      </c>
      <c r="L12" s="31" t="s">
        <v>353</v>
      </c>
      <c r="M12" s="19" t="s">
        <v>396</v>
      </c>
      <c r="N12" s="7" t="s">
        <v>411</v>
      </c>
      <c r="O12" s="19" t="s">
        <v>152</v>
      </c>
    </row>
    <row r="13" customFormat="false" ht="67.5" hidden="false" customHeight="true" outlineLevel="0" collapsed="false">
      <c r="A13" s="26" t="s">
        <v>412</v>
      </c>
      <c r="B13" s="31" t="s">
        <v>211</v>
      </c>
      <c r="C13" s="7" t="s">
        <v>146</v>
      </c>
      <c r="D13" s="6" t="s">
        <v>413</v>
      </c>
      <c r="E13" s="7" t="s">
        <v>398</v>
      </c>
      <c r="F13" s="7" t="s">
        <v>414</v>
      </c>
      <c r="G13" s="7" t="s">
        <v>415</v>
      </c>
      <c r="H13" s="7" t="s">
        <v>416</v>
      </c>
      <c r="I13" s="7" t="s">
        <v>417</v>
      </c>
      <c r="J13" s="31" t="s">
        <v>352</v>
      </c>
      <c r="K13" s="31" t="n">
        <v>5</v>
      </c>
      <c r="L13" s="31" t="s">
        <v>353</v>
      </c>
      <c r="M13" s="19" t="s">
        <v>345</v>
      </c>
      <c r="N13" s="7" t="s">
        <v>418</v>
      </c>
      <c r="O13" s="19" t="s">
        <v>152</v>
      </c>
    </row>
    <row r="14" customFormat="false" ht="42" hidden="false" customHeight="true" outlineLevel="0" collapsed="false">
      <c r="A14" s="26" t="s">
        <v>227</v>
      </c>
      <c r="B14" s="31" t="s">
        <v>211</v>
      </c>
      <c r="C14" s="7" t="s">
        <v>146</v>
      </c>
      <c r="D14" s="6" t="s">
        <v>419</v>
      </c>
      <c r="E14" s="7" t="s">
        <v>398</v>
      </c>
      <c r="F14" s="7" t="s">
        <v>420</v>
      </c>
      <c r="G14" s="7" t="s">
        <v>421</v>
      </c>
      <c r="H14" s="7" t="s">
        <v>422</v>
      </c>
      <c r="I14" s="7" t="s">
        <v>423</v>
      </c>
      <c r="J14" s="31" t="s">
        <v>387</v>
      </c>
      <c r="K14" s="31" t="n">
        <v>3</v>
      </c>
      <c r="L14" s="31" t="s">
        <v>353</v>
      </c>
      <c r="M14" s="19" t="s">
        <v>345</v>
      </c>
      <c r="N14" s="7" t="s">
        <v>424</v>
      </c>
      <c r="O14" s="19" t="s">
        <v>152</v>
      </c>
    </row>
    <row r="15" customFormat="false" ht="42" hidden="false" customHeight="true" outlineLevel="0" collapsed="false">
      <c r="A15" s="26" t="s">
        <v>425</v>
      </c>
      <c r="B15" s="31" t="s">
        <v>211</v>
      </c>
      <c r="C15" s="7" t="s">
        <v>146</v>
      </c>
      <c r="D15" s="6" t="s">
        <v>426</v>
      </c>
      <c r="E15" s="7" t="s">
        <v>398</v>
      </c>
      <c r="F15" s="7" t="s">
        <v>427</v>
      </c>
      <c r="G15" s="7" t="s">
        <v>428</v>
      </c>
      <c r="H15" s="7" t="s">
        <v>429</v>
      </c>
      <c r="I15" s="7" t="s">
        <v>430</v>
      </c>
      <c r="J15" s="31" t="s">
        <v>431</v>
      </c>
      <c r="K15" s="31" t="n">
        <v>3</v>
      </c>
      <c r="L15" s="31" t="s">
        <v>353</v>
      </c>
      <c r="M15" s="19" t="s">
        <v>412</v>
      </c>
      <c r="N15" s="7" t="s">
        <v>432</v>
      </c>
      <c r="O15" s="19" t="s">
        <v>152</v>
      </c>
    </row>
    <row r="16" customFormat="false" ht="79.5" hidden="false" customHeight="true" outlineLevel="0" collapsed="false">
      <c r="A16" s="32" t="s">
        <v>433</v>
      </c>
      <c r="B16" s="33" t="s">
        <v>231</v>
      </c>
      <c r="C16" s="24" t="s">
        <v>146</v>
      </c>
      <c r="D16" s="34" t="s">
        <v>434</v>
      </c>
      <c r="E16" s="24" t="s">
        <v>398</v>
      </c>
      <c r="F16" s="24" t="s">
        <v>435</v>
      </c>
      <c r="G16" s="24" t="s">
        <v>436</v>
      </c>
      <c r="H16" s="24" t="s">
        <v>437</v>
      </c>
      <c r="I16" s="24" t="s">
        <v>438</v>
      </c>
      <c r="J16" s="33" t="s">
        <v>352</v>
      </c>
      <c r="K16" s="33" t="n">
        <v>5</v>
      </c>
      <c r="L16" s="33" t="s">
        <v>353</v>
      </c>
      <c r="M16" s="33" t="s">
        <v>345</v>
      </c>
      <c r="N16" s="24" t="s">
        <v>439</v>
      </c>
      <c r="O16" s="33" t="s">
        <v>152</v>
      </c>
    </row>
    <row r="17" customFormat="false" ht="54.75" hidden="false" customHeight="true" outlineLevel="0" collapsed="false">
      <c r="A17" s="32" t="s">
        <v>440</v>
      </c>
      <c r="B17" s="33" t="s">
        <v>231</v>
      </c>
      <c r="C17" s="24" t="s">
        <v>146</v>
      </c>
      <c r="D17" s="34" t="s">
        <v>441</v>
      </c>
      <c r="E17" s="24" t="s">
        <v>398</v>
      </c>
      <c r="F17" s="24" t="s">
        <v>442</v>
      </c>
      <c r="G17" s="24" t="s">
        <v>443</v>
      </c>
      <c r="H17" s="24" t="s">
        <v>444</v>
      </c>
      <c r="I17" s="24" t="s">
        <v>445</v>
      </c>
      <c r="J17" s="33" t="s">
        <v>352</v>
      </c>
      <c r="K17" s="33" t="n">
        <v>3</v>
      </c>
      <c r="L17" s="33" t="s">
        <v>353</v>
      </c>
      <c r="M17" s="33" t="s">
        <v>433</v>
      </c>
      <c r="N17" s="24" t="s">
        <v>446</v>
      </c>
      <c r="O17" s="33" t="s">
        <v>152</v>
      </c>
    </row>
    <row r="18" customFormat="false" ht="54.75" hidden="false" customHeight="true" outlineLevel="0" collapsed="false">
      <c r="A18" s="26" t="s">
        <v>447</v>
      </c>
      <c r="B18" s="31" t="s">
        <v>231</v>
      </c>
      <c r="C18" s="7" t="s">
        <v>159</v>
      </c>
      <c r="D18" s="6" t="s">
        <v>448</v>
      </c>
      <c r="E18" s="7" t="s">
        <v>449</v>
      </c>
      <c r="F18" s="7" t="s">
        <v>450</v>
      </c>
      <c r="G18" s="7" t="s">
        <v>451</v>
      </c>
      <c r="H18" s="7" t="s">
        <v>452</v>
      </c>
      <c r="I18" s="7" t="s">
        <v>453</v>
      </c>
      <c r="J18" s="31" t="s">
        <v>352</v>
      </c>
      <c r="K18" s="31" t="n">
        <v>5</v>
      </c>
      <c r="L18" s="31" t="s">
        <v>353</v>
      </c>
      <c r="M18" s="19" t="s">
        <v>454</v>
      </c>
      <c r="N18" s="7" t="s">
        <v>455</v>
      </c>
      <c r="O18" s="19" t="s">
        <v>164</v>
      </c>
    </row>
    <row r="19" customFormat="false" ht="42" hidden="false" customHeight="true" outlineLevel="0" collapsed="false">
      <c r="A19" s="26" t="s">
        <v>456</v>
      </c>
      <c r="B19" s="31" t="s">
        <v>231</v>
      </c>
      <c r="C19" s="7" t="s">
        <v>146</v>
      </c>
      <c r="D19" s="6" t="s">
        <v>457</v>
      </c>
      <c r="E19" s="7" t="s">
        <v>398</v>
      </c>
      <c r="F19" s="7" t="s">
        <v>458</v>
      </c>
      <c r="G19" s="7" t="s">
        <v>459</v>
      </c>
      <c r="H19" s="7" t="s">
        <v>460</v>
      </c>
      <c r="I19" s="7" t="s">
        <v>461</v>
      </c>
      <c r="J19" s="31" t="s">
        <v>352</v>
      </c>
      <c r="K19" s="31" t="n">
        <v>3</v>
      </c>
      <c r="L19" s="31" t="s">
        <v>353</v>
      </c>
      <c r="M19" s="19" t="s">
        <v>433</v>
      </c>
      <c r="N19" s="7" t="s">
        <v>462</v>
      </c>
      <c r="O19" s="19" t="s">
        <v>152</v>
      </c>
    </row>
    <row r="20" customFormat="false" ht="42" hidden="false" customHeight="true" outlineLevel="0" collapsed="false">
      <c r="A20" s="26" t="s">
        <v>463</v>
      </c>
      <c r="B20" s="31" t="s">
        <v>231</v>
      </c>
      <c r="C20" s="7" t="s">
        <v>146</v>
      </c>
      <c r="D20" s="6" t="s">
        <v>464</v>
      </c>
      <c r="E20" s="7" t="s">
        <v>398</v>
      </c>
      <c r="F20" s="7" t="s">
        <v>465</v>
      </c>
      <c r="G20" s="7" t="s">
        <v>466</v>
      </c>
      <c r="H20" s="7" t="s">
        <v>467</v>
      </c>
      <c r="I20" s="7" t="s">
        <v>468</v>
      </c>
      <c r="J20" s="31" t="s">
        <v>387</v>
      </c>
      <c r="K20" s="31" t="n">
        <v>3</v>
      </c>
      <c r="L20" s="31" t="s">
        <v>353</v>
      </c>
      <c r="M20" s="19" t="s">
        <v>433</v>
      </c>
      <c r="N20" s="7" t="s">
        <v>469</v>
      </c>
      <c r="O20" s="19" t="s">
        <v>152</v>
      </c>
    </row>
    <row r="21" customFormat="false" ht="54.75" hidden="false" customHeight="true" outlineLevel="0" collapsed="false">
      <c r="A21" s="26" t="s">
        <v>470</v>
      </c>
      <c r="B21" s="31" t="s">
        <v>231</v>
      </c>
      <c r="C21" s="7" t="s">
        <v>146</v>
      </c>
      <c r="D21" s="6" t="s">
        <v>471</v>
      </c>
      <c r="E21" s="7" t="s">
        <v>398</v>
      </c>
      <c r="F21" s="7" t="s">
        <v>472</v>
      </c>
      <c r="G21" s="7" t="s">
        <v>473</v>
      </c>
      <c r="H21" s="7" t="s">
        <v>474</v>
      </c>
      <c r="I21" s="7" t="s">
        <v>475</v>
      </c>
      <c r="J21" s="31" t="s">
        <v>387</v>
      </c>
      <c r="K21" s="31" t="n">
        <v>5</v>
      </c>
      <c r="L21" s="31" t="s">
        <v>353</v>
      </c>
      <c r="M21" s="19" t="s">
        <v>433</v>
      </c>
      <c r="N21" s="7" t="s">
        <v>476</v>
      </c>
      <c r="O21" s="19" t="s">
        <v>152</v>
      </c>
    </row>
    <row r="22" customFormat="false" ht="180" hidden="false" customHeight="true" outlineLevel="0" collapsed="false">
      <c r="A22" s="26" t="s">
        <v>477</v>
      </c>
      <c r="B22" s="31" t="s">
        <v>231</v>
      </c>
      <c r="C22" s="7" t="s">
        <v>146</v>
      </c>
      <c r="D22" s="6" t="s">
        <v>478</v>
      </c>
      <c r="E22" s="7" t="s">
        <v>398</v>
      </c>
      <c r="F22" s="7" t="s">
        <v>479</v>
      </c>
      <c r="G22" s="7" t="s">
        <v>480</v>
      </c>
      <c r="H22" s="7" t="s">
        <v>481</v>
      </c>
      <c r="I22" s="7" t="s">
        <v>482</v>
      </c>
      <c r="J22" s="31" t="s">
        <v>352</v>
      </c>
      <c r="K22" s="31" t="n">
        <v>3</v>
      </c>
      <c r="L22" s="31" t="s">
        <v>353</v>
      </c>
      <c r="M22" s="19" t="s">
        <v>440</v>
      </c>
      <c r="N22" s="7" t="s">
        <v>483</v>
      </c>
      <c r="O22" s="19" t="s">
        <v>152</v>
      </c>
    </row>
    <row r="23" customFormat="false" ht="67.5" hidden="false" customHeight="true" outlineLevel="0" collapsed="false">
      <c r="A23" s="26" t="s">
        <v>484</v>
      </c>
      <c r="B23" s="31" t="s">
        <v>231</v>
      </c>
      <c r="C23" s="7" t="s">
        <v>146</v>
      </c>
      <c r="D23" s="6" t="s">
        <v>485</v>
      </c>
      <c r="E23" s="7" t="s">
        <v>398</v>
      </c>
      <c r="F23" s="7" t="s">
        <v>486</v>
      </c>
      <c r="G23" s="7" t="s">
        <v>487</v>
      </c>
      <c r="H23" s="7" t="s">
        <v>488</v>
      </c>
      <c r="I23" s="7" t="s">
        <v>489</v>
      </c>
      <c r="J23" s="31" t="s">
        <v>387</v>
      </c>
      <c r="K23" s="31" t="n">
        <v>3</v>
      </c>
      <c r="L23" s="31" t="s">
        <v>353</v>
      </c>
      <c r="M23" s="19" t="s">
        <v>433</v>
      </c>
      <c r="N23" s="7" t="s">
        <v>490</v>
      </c>
      <c r="O23" s="19" t="s">
        <v>152</v>
      </c>
    </row>
    <row r="24" customFormat="false" ht="54.75" hidden="false" customHeight="true" outlineLevel="0" collapsed="false">
      <c r="A24" s="26" t="s">
        <v>491</v>
      </c>
      <c r="B24" s="31" t="s">
        <v>170</v>
      </c>
      <c r="C24" s="7" t="s">
        <v>405</v>
      </c>
      <c r="D24" s="6" t="s">
        <v>492</v>
      </c>
      <c r="E24" s="7" t="s">
        <v>493</v>
      </c>
      <c r="F24" s="7" t="s">
        <v>494</v>
      </c>
      <c r="G24" s="7" t="s">
        <v>495</v>
      </c>
      <c r="H24" s="7" t="s">
        <v>496</v>
      </c>
      <c r="I24" s="7" t="s">
        <v>497</v>
      </c>
      <c r="J24" s="31" t="s">
        <v>352</v>
      </c>
      <c r="K24" s="31" t="n">
        <v>5</v>
      </c>
      <c r="L24" s="31" t="s">
        <v>353</v>
      </c>
      <c r="M24" s="19" t="s">
        <v>498</v>
      </c>
      <c r="N24" s="7" t="s">
        <v>499</v>
      </c>
      <c r="O24" s="19" t="s">
        <v>500</v>
      </c>
    </row>
    <row r="25" customFormat="false" ht="67.5" hidden="false" customHeight="true" outlineLevel="0" collapsed="false">
      <c r="A25" s="26" t="s">
        <v>501</v>
      </c>
      <c r="B25" s="31" t="s">
        <v>170</v>
      </c>
      <c r="C25" s="7" t="s">
        <v>405</v>
      </c>
      <c r="D25" s="6" t="s">
        <v>502</v>
      </c>
      <c r="E25" s="7" t="s">
        <v>493</v>
      </c>
      <c r="F25" s="7" t="s">
        <v>503</v>
      </c>
      <c r="G25" s="7" t="s">
        <v>504</v>
      </c>
      <c r="H25" s="7" t="s">
        <v>505</v>
      </c>
      <c r="I25" s="7" t="s">
        <v>506</v>
      </c>
      <c r="J25" s="31" t="s">
        <v>352</v>
      </c>
      <c r="K25" s="31" t="n">
        <v>5</v>
      </c>
      <c r="L25" s="31" t="s">
        <v>353</v>
      </c>
      <c r="M25" s="19" t="s">
        <v>507</v>
      </c>
      <c r="N25" s="7" t="s">
        <v>508</v>
      </c>
      <c r="O25" s="19" t="s">
        <v>500</v>
      </c>
    </row>
    <row r="26" customFormat="false" ht="79.5" hidden="false" customHeight="true" outlineLevel="0" collapsed="false">
      <c r="A26" s="26" t="s">
        <v>247</v>
      </c>
      <c r="B26" s="31" t="s">
        <v>170</v>
      </c>
      <c r="C26" s="7" t="s">
        <v>405</v>
      </c>
      <c r="D26" s="6" t="s">
        <v>509</v>
      </c>
      <c r="E26" s="7" t="s">
        <v>493</v>
      </c>
      <c r="F26" s="7" t="s">
        <v>510</v>
      </c>
      <c r="G26" s="7" t="s">
        <v>511</v>
      </c>
      <c r="H26" s="7" t="s">
        <v>512</v>
      </c>
      <c r="I26" s="7" t="s">
        <v>513</v>
      </c>
      <c r="J26" s="31" t="s">
        <v>352</v>
      </c>
      <c r="K26" s="31" t="n">
        <v>8</v>
      </c>
      <c r="L26" s="31" t="s">
        <v>353</v>
      </c>
      <c r="M26" s="19" t="s">
        <v>242</v>
      </c>
      <c r="N26" s="7" t="s">
        <v>514</v>
      </c>
      <c r="O26" s="19" t="s">
        <v>500</v>
      </c>
    </row>
    <row r="27" customFormat="false" ht="54.75" hidden="false" customHeight="true" outlineLevel="0" collapsed="false">
      <c r="A27" s="26" t="s">
        <v>251</v>
      </c>
      <c r="B27" s="31" t="s">
        <v>170</v>
      </c>
      <c r="C27" s="7" t="s">
        <v>146</v>
      </c>
      <c r="D27" s="6" t="s">
        <v>515</v>
      </c>
      <c r="E27" s="7" t="s">
        <v>398</v>
      </c>
      <c r="F27" s="7" t="s">
        <v>516</v>
      </c>
      <c r="G27" s="7" t="s">
        <v>517</v>
      </c>
      <c r="H27" s="7" t="s">
        <v>518</v>
      </c>
      <c r="I27" s="7" t="s">
        <v>519</v>
      </c>
      <c r="J27" s="31" t="s">
        <v>387</v>
      </c>
      <c r="K27" s="31" t="n">
        <v>5</v>
      </c>
      <c r="L27" s="31" t="s">
        <v>353</v>
      </c>
      <c r="M27" s="19" t="s">
        <v>247</v>
      </c>
      <c r="N27" s="7" t="s">
        <v>520</v>
      </c>
      <c r="O27" s="19" t="s">
        <v>152</v>
      </c>
    </row>
    <row r="28" customFormat="false" ht="79.5" hidden="false" customHeight="true" outlineLevel="0" collapsed="false">
      <c r="A28" s="26" t="s">
        <v>521</v>
      </c>
      <c r="B28" s="31" t="s">
        <v>170</v>
      </c>
      <c r="C28" s="7" t="s">
        <v>405</v>
      </c>
      <c r="D28" s="6" t="s">
        <v>522</v>
      </c>
      <c r="E28" s="7" t="s">
        <v>493</v>
      </c>
      <c r="F28" s="7" t="s">
        <v>523</v>
      </c>
      <c r="G28" s="7" t="s">
        <v>524</v>
      </c>
      <c r="H28" s="7" t="s">
        <v>525</v>
      </c>
      <c r="I28" s="7" t="s">
        <v>526</v>
      </c>
      <c r="J28" s="31" t="s">
        <v>387</v>
      </c>
      <c r="K28" s="31" t="n">
        <v>3</v>
      </c>
      <c r="L28" s="31" t="s">
        <v>353</v>
      </c>
      <c r="M28" s="19" t="s">
        <v>242</v>
      </c>
      <c r="N28" s="7" t="s">
        <v>527</v>
      </c>
      <c r="O28" s="19" t="s">
        <v>500</v>
      </c>
    </row>
    <row r="29" customFormat="false" ht="54.75" hidden="false" customHeight="true" outlineLevel="0" collapsed="false">
      <c r="A29" s="26" t="s">
        <v>528</v>
      </c>
      <c r="B29" s="31" t="s">
        <v>255</v>
      </c>
      <c r="C29" s="7" t="s">
        <v>146</v>
      </c>
      <c r="D29" s="6" t="s">
        <v>529</v>
      </c>
      <c r="E29" s="7" t="s">
        <v>398</v>
      </c>
      <c r="F29" s="7" t="s">
        <v>530</v>
      </c>
      <c r="G29" s="7" t="s">
        <v>531</v>
      </c>
      <c r="H29" s="7" t="s">
        <v>532</v>
      </c>
      <c r="I29" s="7" t="s">
        <v>533</v>
      </c>
      <c r="J29" s="31" t="s">
        <v>352</v>
      </c>
      <c r="K29" s="31" t="n">
        <v>5</v>
      </c>
      <c r="L29" s="31" t="s">
        <v>353</v>
      </c>
      <c r="M29" s="19" t="s">
        <v>534</v>
      </c>
      <c r="N29" s="7" t="s">
        <v>535</v>
      </c>
      <c r="O29" s="19" t="s">
        <v>152</v>
      </c>
    </row>
    <row r="30" customFormat="false" ht="42" hidden="false" customHeight="true" outlineLevel="0" collapsed="false">
      <c r="A30" s="26" t="s">
        <v>536</v>
      </c>
      <c r="B30" s="31" t="s">
        <v>255</v>
      </c>
      <c r="C30" s="7" t="s">
        <v>146</v>
      </c>
      <c r="D30" s="6" t="s">
        <v>537</v>
      </c>
      <c r="E30" s="7" t="s">
        <v>398</v>
      </c>
      <c r="F30" s="7" t="s">
        <v>538</v>
      </c>
      <c r="G30" s="7" t="s">
        <v>539</v>
      </c>
      <c r="H30" s="7" t="s">
        <v>540</v>
      </c>
      <c r="I30" s="7" t="s">
        <v>541</v>
      </c>
      <c r="J30" s="31" t="s">
        <v>352</v>
      </c>
      <c r="K30" s="31" t="n">
        <v>5</v>
      </c>
      <c r="L30" s="31" t="s">
        <v>353</v>
      </c>
      <c r="M30" s="19" t="s">
        <v>528</v>
      </c>
      <c r="N30" s="7" t="s">
        <v>542</v>
      </c>
      <c r="O30" s="19" t="s">
        <v>152</v>
      </c>
    </row>
    <row r="31" customFormat="false" ht="42" hidden="false" customHeight="true" outlineLevel="0" collapsed="false">
      <c r="A31" s="26" t="s">
        <v>543</v>
      </c>
      <c r="B31" s="31" t="s">
        <v>255</v>
      </c>
      <c r="C31" s="7" t="s">
        <v>146</v>
      </c>
      <c r="D31" s="6" t="s">
        <v>544</v>
      </c>
      <c r="E31" s="7" t="s">
        <v>398</v>
      </c>
      <c r="F31" s="7" t="s">
        <v>545</v>
      </c>
      <c r="G31" s="7" t="s">
        <v>546</v>
      </c>
      <c r="H31" s="7" t="s">
        <v>547</v>
      </c>
      <c r="I31" s="7" t="s">
        <v>548</v>
      </c>
      <c r="J31" s="31" t="s">
        <v>387</v>
      </c>
      <c r="K31" s="31" t="n">
        <v>3</v>
      </c>
      <c r="L31" s="31" t="s">
        <v>353</v>
      </c>
      <c r="M31" s="19" t="s">
        <v>528</v>
      </c>
      <c r="N31" s="7" t="s">
        <v>520</v>
      </c>
      <c r="O31" s="19" t="s">
        <v>152</v>
      </c>
    </row>
    <row r="32" customFormat="false" ht="42" hidden="false" customHeight="true" outlineLevel="0" collapsed="false">
      <c r="A32" s="26" t="s">
        <v>549</v>
      </c>
      <c r="B32" s="31" t="s">
        <v>255</v>
      </c>
      <c r="C32" s="7" t="s">
        <v>146</v>
      </c>
      <c r="D32" s="6" t="s">
        <v>550</v>
      </c>
      <c r="E32" s="7" t="s">
        <v>398</v>
      </c>
      <c r="F32" s="7" t="s">
        <v>551</v>
      </c>
      <c r="G32" s="7" t="s">
        <v>552</v>
      </c>
      <c r="H32" s="7" t="s">
        <v>553</v>
      </c>
      <c r="I32" s="7" t="s">
        <v>554</v>
      </c>
      <c r="J32" s="31" t="s">
        <v>387</v>
      </c>
      <c r="K32" s="31" t="n">
        <v>5</v>
      </c>
      <c r="L32" s="31" t="s">
        <v>353</v>
      </c>
      <c r="M32" s="19" t="s">
        <v>536</v>
      </c>
      <c r="N32" s="7" t="s">
        <v>555</v>
      </c>
      <c r="O32" s="19" t="s">
        <v>152</v>
      </c>
    </row>
    <row r="33" customFormat="false" ht="42" hidden="false" customHeight="true" outlineLevel="0" collapsed="false">
      <c r="A33" s="26" t="s">
        <v>556</v>
      </c>
      <c r="B33" s="31" t="s">
        <v>261</v>
      </c>
      <c r="C33" s="7" t="s">
        <v>159</v>
      </c>
      <c r="D33" s="6" t="s">
        <v>557</v>
      </c>
      <c r="E33" s="7" t="s">
        <v>558</v>
      </c>
      <c r="F33" s="7" t="s">
        <v>559</v>
      </c>
      <c r="G33" s="7" t="s">
        <v>560</v>
      </c>
      <c r="H33" s="7" t="s">
        <v>561</v>
      </c>
      <c r="I33" s="7" t="s">
        <v>562</v>
      </c>
      <c r="J33" s="31" t="s">
        <v>352</v>
      </c>
      <c r="K33" s="31" t="n">
        <v>3</v>
      </c>
      <c r="L33" s="31" t="s">
        <v>353</v>
      </c>
      <c r="M33" s="19" t="s">
        <v>563</v>
      </c>
      <c r="N33" s="7" t="s">
        <v>564</v>
      </c>
      <c r="O33" s="19" t="s">
        <v>164</v>
      </c>
    </row>
    <row r="34" customFormat="false" ht="67.5" hidden="false" customHeight="true" outlineLevel="0" collapsed="false">
      <c r="A34" s="26" t="s">
        <v>565</v>
      </c>
      <c r="B34" s="31" t="s">
        <v>261</v>
      </c>
      <c r="C34" s="7" t="s">
        <v>159</v>
      </c>
      <c r="D34" s="6" t="s">
        <v>566</v>
      </c>
      <c r="E34" s="7" t="s">
        <v>567</v>
      </c>
      <c r="F34" s="7" t="s">
        <v>568</v>
      </c>
      <c r="G34" s="7" t="s">
        <v>569</v>
      </c>
      <c r="H34" s="7" t="s">
        <v>570</v>
      </c>
      <c r="I34" s="7" t="s">
        <v>571</v>
      </c>
      <c r="J34" s="31" t="s">
        <v>352</v>
      </c>
      <c r="K34" s="31" t="n">
        <v>3</v>
      </c>
      <c r="L34" s="31" t="s">
        <v>353</v>
      </c>
      <c r="M34" s="19" t="s">
        <v>572</v>
      </c>
      <c r="N34" s="7" t="s">
        <v>542</v>
      </c>
      <c r="O34" s="19" t="s">
        <v>164</v>
      </c>
    </row>
    <row r="35" customFormat="false" ht="42" hidden="false" customHeight="true" outlineLevel="0" collapsed="false">
      <c r="A35" s="26" t="s">
        <v>573</v>
      </c>
      <c r="B35" s="31" t="s">
        <v>261</v>
      </c>
      <c r="C35" s="7" t="s">
        <v>159</v>
      </c>
      <c r="D35" s="6" t="s">
        <v>574</v>
      </c>
      <c r="E35" s="7" t="s">
        <v>567</v>
      </c>
      <c r="F35" s="7" t="s">
        <v>575</v>
      </c>
      <c r="G35" s="7" t="s">
        <v>576</v>
      </c>
      <c r="H35" s="7" t="s">
        <v>577</v>
      </c>
      <c r="I35" s="7" t="s">
        <v>578</v>
      </c>
      <c r="J35" s="31" t="s">
        <v>387</v>
      </c>
      <c r="K35" s="31" t="n">
        <v>3</v>
      </c>
      <c r="L35" s="31" t="s">
        <v>353</v>
      </c>
      <c r="M35" s="19" t="s">
        <v>579</v>
      </c>
      <c r="N35" s="7" t="s">
        <v>580</v>
      </c>
      <c r="O35" s="19" t="s">
        <v>164</v>
      </c>
    </row>
    <row r="36" customFormat="false" ht="54.75" hidden="false" customHeight="true" outlineLevel="0" collapsed="false">
      <c r="A36" s="26" t="s">
        <v>581</v>
      </c>
      <c r="B36" s="31" t="s">
        <v>272</v>
      </c>
      <c r="C36" s="7" t="s">
        <v>146</v>
      </c>
      <c r="D36" s="6" t="s">
        <v>582</v>
      </c>
      <c r="E36" s="7" t="s">
        <v>398</v>
      </c>
      <c r="F36" s="7" t="s">
        <v>583</v>
      </c>
      <c r="G36" s="7" t="s">
        <v>584</v>
      </c>
      <c r="H36" s="7" t="s">
        <v>585</v>
      </c>
      <c r="I36" s="7" t="s">
        <v>586</v>
      </c>
      <c r="J36" s="31" t="s">
        <v>387</v>
      </c>
      <c r="K36" s="31" t="n">
        <v>5</v>
      </c>
      <c r="L36" s="31" t="s">
        <v>353</v>
      </c>
      <c r="M36" s="19" t="s">
        <v>587</v>
      </c>
      <c r="N36" s="7" t="s">
        <v>588</v>
      </c>
      <c r="O36" s="19" t="s">
        <v>152</v>
      </c>
    </row>
    <row r="37" customFormat="false" ht="79.5" hidden="false" customHeight="true" outlineLevel="0" collapsed="false">
      <c r="A37" s="26" t="s">
        <v>589</v>
      </c>
      <c r="B37" s="31" t="s">
        <v>272</v>
      </c>
      <c r="C37" s="7" t="s">
        <v>146</v>
      </c>
      <c r="D37" s="6" t="s">
        <v>590</v>
      </c>
      <c r="E37" s="7" t="s">
        <v>398</v>
      </c>
      <c r="F37" s="7" t="s">
        <v>591</v>
      </c>
      <c r="G37" s="7" t="s">
        <v>592</v>
      </c>
      <c r="H37" s="7" t="s">
        <v>593</v>
      </c>
      <c r="I37" s="7" t="s">
        <v>594</v>
      </c>
      <c r="J37" s="31" t="s">
        <v>431</v>
      </c>
      <c r="K37" s="31" t="n">
        <v>5</v>
      </c>
      <c r="L37" s="31" t="s">
        <v>353</v>
      </c>
      <c r="M37" s="19" t="s">
        <v>595</v>
      </c>
      <c r="N37" s="7" t="s">
        <v>411</v>
      </c>
      <c r="O37" s="19" t="s">
        <v>152</v>
      </c>
    </row>
    <row r="38" customFormat="false" ht="42" hidden="false" customHeight="true" outlineLevel="0" collapsed="false">
      <c r="A38" s="26" t="s">
        <v>596</v>
      </c>
      <c r="B38" s="31" t="s">
        <v>272</v>
      </c>
      <c r="C38" s="7" t="s">
        <v>146</v>
      </c>
      <c r="D38" s="6" t="s">
        <v>597</v>
      </c>
      <c r="E38" s="7" t="s">
        <v>398</v>
      </c>
      <c r="F38" s="7" t="s">
        <v>598</v>
      </c>
      <c r="G38" s="7" t="s">
        <v>599</v>
      </c>
      <c r="H38" s="7" t="s">
        <v>600</v>
      </c>
      <c r="I38" s="7" t="s">
        <v>601</v>
      </c>
      <c r="J38" s="31" t="s">
        <v>431</v>
      </c>
      <c r="K38" s="31" t="n">
        <v>3</v>
      </c>
      <c r="L38" s="31" t="s">
        <v>353</v>
      </c>
      <c r="M38" s="19" t="s">
        <v>602</v>
      </c>
      <c r="N38" s="7" t="s">
        <v>520</v>
      </c>
      <c r="O38" s="19" t="s">
        <v>152</v>
      </c>
    </row>
    <row r="39" customFormat="false" ht="54.75" hidden="false" customHeight="true" outlineLevel="0" collapsed="false">
      <c r="A39" s="26" t="s">
        <v>279</v>
      </c>
      <c r="B39" s="31" t="s">
        <v>278</v>
      </c>
      <c r="C39" s="7" t="s">
        <v>139</v>
      </c>
      <c r="D39" s="6" t="s">
        <v>603</v>
      </c>
      <c r="E39" s="7" t="s">
        <v>604</v>
      </c>
      <c r="F39" s="7" t="s">
        <v>605</v>
      </c>
      <c r="G39" s="7" t="s">
        <v>606</v>
      </c>
      <c r="H39" s="7" t="s">
        <v>607</v>
      </c>
      <c r="I39" s="7" t="s">
        <v>608</v>
      </c>
      <c r="J39" s="31" t="s">
        <v>352</v>
      </c>
      <c r="K39" s="31" t="n">
        <v>3</v>
      </c>
      <c r="L39" s="31" t="s">
        <v>353</v>
      </c>
      <c r="M39" s="19" t="s">
        <v>145</v>
      </c>
      <c r="N39" s="7" t="s">
        <v>609</v>
      </c>
      <c r="O39" s="19" t="s">
        <v>145</v>
      </c>
    </row>
    <row r="40" customFormat="false" ht="67.5" hidden="false" customHeight="true" outlineLevel="0" collapsed="false">
      <c r="A40" s="26" t="s">
        <v>284</v>
      </c>
      <c r="B40" s="31" t="s">
        <v>278</v>
      </c>
      <c r="C40" s="7" t="s">
        <v>146</v>
      </c>
      <c r="D40" s="6" t="s">
        <v>610</v>
      </c>
      <c r="E40" s="7" t="s">
        <v>398</v>
      </c>
      <c r="F40" s="7" t="s">
        <v>611</v>
      </c>
      <c r="G40" s="7" t="s">
        <v>612</v>
      </c>
      <c r="H40" s="7" t="s">
        <v>613</v>
      </c>
      <c r="I40" s="7" t="s">
        <v>614</v>
      </c>
      <c r="J40" s="31" t="s">
        <v>431</v>
      </c>
      <c r="K40" s="31" t="n">
        <v>5</v>
      </c>
      <c r="L40" s="31" t="s">
        <v>353</v>
      </c>
      <c r="M40" s="19" t="s">
        <v>615</v>
      </c>
      <c r="N40" s="7" t="s">
        <v>616</v>
      </c>
      <c r="O40" s="19" t="s">
        <v>152</v>
      </c>
    </row>
    <row r="41" customFormat="false" ht="67.5" hidden="false" customHeight="true" outlineLevel="0" collapsed="false">
      <c r="A41" s="32" t="s">
        <v>289</v>
      </c>
      <c r="B41" s="33" t="s">
        <v>278</v>
      </c>
      <c r="C41" s="24" t="s">
        <v>159</v>
      </c>
      <c r="D41" s="34" t="s">
        <v>617</v>
      </c>
      <c r="E41" s="24" t="s">
        <v>618</v>
      </c>
      <c r="F41" s="24" t="s">
        <v>619</v>
      </c>
      <c r="G41" s="24" t="s">
        <v>620</v>
      </c>
      <c r="H41" s="24" t="s">
        <v>621</v>
      </c>
      <c r="I41" s="24" t="s">
        <v>622</v>
      </c>
      <c r="J41" s="33" t="s">
        <v>431</v>
      </c>
      <c r="K41" s="33" t="n">
        <v>5</v>
      </c>
      <c r="L41" s="33" t="s">
        <v>353</v>
      </c>
      <c r="M41" s="33" t="s">
        <v>623</v>
      </c>
      <c r="N41" s="24" t="s">
        <v>624</v>
      </c>
      <c r="O41" s="33" t="s">
        <v>164</v>
      </c>
    </row>
    <row r="42" customFormat="false" ht="105" hidden="false" customHeight="true" outlineLevel="0" collapsed="false">
      <c r="A42" s="32" t="s">
        <v>625</v>
      </c>
      <c r="B42" s="33" t="s">
        <v>144</v>
      </c>
      <c r="C42" s="24" t="s">
        <v>146</v>
      </c>
      <c r="D42" s="34" t="s">
        <v>626</v>
      </c>
      <c r="E42" s="24" t="s">
        <v>398</v>
      </c>
      <c r="F42" s="24" t="s">
        <v>627</v>
      </c>
      <c r="G42" s="24" t="s">
        <v>628</v>
      </c>
      <c r="H42" s="24" t="s">
        <v>629</v>
      </c>
      <c r="I42" s="24" t="s">
        <v>630</v>
      </c>
      <c r="J42" s="33" t="s">
        <v>352</v>
      </c>
      <c r="K42" s="33" t="n">
        <v>5</v>
      </c>
      <c r="L42" s="33" t="s">
        <v>353</v>
      </c>
      <c r="M42" s="33" t="s">
        <v>345</v>
      </c>
      <c r="N42" s="24" t="s">
        <v>631</v>
      </c>
      <c r="O42" s="33" t="s">
        <v>152</v>
      </c>
    </row>
    <row r="43" customFormat="false" ht="54.75" hidden="false" customHeight="true" outlineLevel="0" collapsed="false">
      <c r="A43" s="32" t="s">
        <v>632</v>
      </c>
      <c r="B43" s="33" t="s">
        <v>144</v>
      </c>
      <c r="C43" s="24" t="s">
        <v>153</v>
      </c>
      <c r="D43" s="34" t="s">
        <v>633</v>
      </c>
      <c r="E43" s="24" t="s">
        <v>634</v>
      </c>
      <c r="F43" s="24" t="s">
        <v>635</v>
      </c>
      <c r="G43" s="24" t="s">
        <v>636</v>
      </c>
      <c r="H43" s="24" t="s">
        <v>637</v>
      </c>
      <c r="I43" s="24" t="s">
        <v>638</v>
      </c>
      <c r="J43" s="33" t="s">
        <v>352</v>
      </c>
      <c r="K43" s="33" t="n">
        <v>3</v>
      </c>
      <c r="L43" s="33" t="s">
        <v>353</v>
      </c>
      <c r="M43" s="33" t="s">
        <v>625</v>
      </c>
      <c r="N43" s="24" t="s">
        <v>639</v>
      </c>
      <c r="O43" s="33" t="s">
        <v>158</v>
      </c>
    </row>
    <row r="44" customFormat="false" ht="54.75" hidden="false" customHeight="true" outlineLevel="0" collapsed="false">
      <c r="A44" s="32" t="s">
        <v>267</v>
      </c>
      <c r="B44" s="33" t="s">
        <v>170</v>
      </c>
      <c r="C44" s="24" t="s">
        <v>165</v>
      </c>
      <c r="D44" s="34" t="s">
        <v>640</v>
      </c>
      <c r="E44" s="24" t="s">
        <v>641</v>
      </c>
      <c r="F44" s="24" t="s">
        <v>642</v>
      </c>
      <c r="G44" s="24" t="s">
        <v>643</v>
      </c>
      <c r="H44" s="24" t="s">
        <v>644</v>
      </c>
      <c r="I44" s="24" t="s">
        <v>645</v>
      </c>
      <c r="J44" s="33" t="s">
        <v>387</v>
      </c>
      <c r="K44" s="33" t="n">
        <v>3</v>
      </c>
      <c r="L44" s="33" t="s">
        <v>353</v>
      </c>
      <c r="M44" s="33" t="s">
        <v>501</v>
      </c>
      <c r="N44" s="24" t="s">
        <v>646</v>
      </c>
      <c r="O44" s="33" t="s">
        <v>171</v>
      </c>
    </row>
    <row r="45" customFormat="false" ht="39" hidden="false" customHeight="true" outlineLevel="0" collapsed="false">
      <c r="A45" s="24" t="s">
        <v>647</v>
      </c>
      <c r="B45" s="24" t="s">
        <v>231</v>
      </c>
      <c r="C45" s="24" t="s">
        <v>146</v>
      </c>
      <c r="D45" s="24" t="s">
        <v>648</v>
      </c>
      <c r="E45" s="24" t="s">
        <v>649</v>
      </c>
      <c r="F45" s="24" t="s">
        <v>650</v>
      </c>
      <c r="G45" s="24" t="s">
        <v>651</v>
      </c>
      <c r="H45" s="24" t="s">
        <v>652</v>
      </c>
      <c r="I45" s="24" t="s">
        <v>653</v>
      </c>
      <c r="J45" s="24" t="s">
        <v>352</v>
      </c>
      <c r="K45" s="24" t="n">
        <v>3</v>
      </c>
      <c r="L45" s="24" t="s">
        <v>353</v>
      </c>
      <c r="M45" s="24" t="s">
        <v>433</v>
      </c>
      <c r="N45" s="24" t="s">
        <v>654</v>
      </c>
      <c r="O45" s="24" t="s">
        <v>655</v>
      </c>
    </row>
    <row r="46" customFormat="false" ht="15" hidden="false" customHeight="true" outlineLevel="0" collapsed="false">
      <c r="A46" s="24" t="s">
        <v>656</v>
      </c>
      <c r="B46" s="24" t="s">
        <v>231</v>
      </c>
      <c r="C46" s="24" t="s">
        <v>146</v>
      </c>
      <c r="D46" s="24" t="s">
        <v>657</v>
      </c>
      <c r="E46" s="24" t="s">
        <v>649</v>
      </c>
      <c r="F46" s="24" t="s">
        <v>658</v>
      </c>
      <c r="G46" s="24" t="s">
        <v>659</v>
      </c>
      <c r="H46" s="24" t="s">
        <v>660</v>
      </c>
      <c r="I46" s="24" t="s">
        <v>661</v>
      </c>
      <c r="J46" s="24" t="s">
        <v>387</v>
      </c>
      <c r="K46" s="24" t="n">
        <v>3</v>
      </c>
      <c r="L46" s="24" t="s">
        <v>353</v>
      </c>
      <c r="M46" s="24" t="s">
        <v>647</v>
      </c>
      <c r="N46" s="24" t="s">
        <v>662</v>
      </c>
      <c r="O46" s="24" t="s">
        <v>655</v>
      </c>
    </row>
    <row r="47" customFormat="false" ht="15" hidden="false" customHeight="true" outlineLevel="0" collapsed="false">
      <c r="A47" s="24" t="s">
        <v>663</v>
      </c>
      <c r="B47" s="24" t="s">
        <v>170</v>
      </c>
      <c r="C47" s="24" t="s">
        <v>153</v>
      </c>
      <c r="D47" s="24" t="s">
        <v>664</v>
      </c>
      <c r="E47" s="24" t="s">
        <v>634</v>
      </c>
      <c r="F47" s="24" t="s">
        <v>665</v>
      </c>
      <c r="G47" s="24" t="s">
        <v>666</v>
      </c>
      <c r="H47" s="24" t="s">
        <v>667</v>
      </c>
      <c r="I47" s="24" t="s">
        <v>668</v>
      </c>
      <c r="J47" s="24" t="s">
        <v>352</v>
      </c>
      <c r="K47" s="24" t="n">
        <v>5</v>
      </c>
      <c r="L47" s="24" t="s">
        <v>353</v>
      </c>
      <c r="M47" s="24" t="s">
        <v>669</v>
      </c>
      <c r="N47" s="24" t="s">
        <v>670</v>
      </c>
      <c r="O47" s="24" t="s">
        <v>671</v>
      </c>
    </row>
    <row r="48" customFormat="false" ht="39" hidden="false" customHeight="true" outlineLevel="0" collapsed="false">
      <c r="A48" s="24" t="s">
        <v>672</v>
      </c>
      <c r="B48" s="24" t="s">
        <v>170</v>
      </c>
      <c r="C48" s="24" t="s">
        <v>153</v>
      </c>
      <c r="D48" s="24" t="s">
        <v>673</v>
      </c>
      <c r="E48" s="24" t="s">
        <v>634</v>
      </c>
      <c r="F48" s="24" t="s">
        <v>674</v>
      </c>
      <c r="G48" s="24" t="s">
        <v>675</v>
      </c>
      <c r="H48" s="24" t="s">
        <v>676</v>
      </c>
      <c r="I48" s="24" t="s">
        <v>677</v>
      </c>
      <c r="J48" s="24" t="s">
        <v>352</v>
      </c>
      <c r="K48" s="24" t="n">
        <v>5</v>
      </c>
      <c r="L48" s="24" t="s">
        <v>353</v>
      </c>
      <c r="M48" s="24" t="s">
        <v>678</v>
      </c>
      <c r="N48" s="24" t="s">
        <v>679</v>
      </c>
      <c r="O48" s="24" t="s">
        <v>671</v>
      </c>
    </row>
    <row r="49" customFormat="false" ht="39" hidden="false" customHeight="true" outlineLevel="0" collapsed="false">
      <c r="A49" s="24" t="s">
        <v>680</v>
      </c>
      <c r="B49" s="24" t="s">
        <v>170</v>
      </c>
      <c r="C49" s="24" t="s">
        <v>153</v>
      </c>
      <c r="D49" s="24" t="s">
        <v>681</v>
      </c>
      <c r="E49" s="24" t="s">
        <v>634</v>
      </c>
      <c r="F49" s="24" t="s">
        <v>682</v>
      </c>
      <c r="G49" s="24" t="s">
        <v>683</v>
      </c>
      <c r="H49" s="24" t="s">
        <v>684</v>
      </c>
      <c r="I49" s="24" t="s">
        <v>685</v>
      </c>
      <c r="J49" s="24" t="s">
        <v>352</v>
      </c>
      <c r="K49" s="24" t="n">
        <v>3</v>
      </c>
      <c r="L49" s="24" t="s">
        <v>353</v>
      </c>
      <c r="M49" s="24" t="s">
        <v>686</v>
      </c>
      <c r="N49" s="24" t="s">
        <v>687</v>
      </c>
      <c r="O49" s="24" t="s">
        <v>671</v>
      </c>
    </row>
    <row r="50" customFormat="false" ht="150" hidden="false" customHeight="true" outlineLevel="0" collapsed="false">
      <c r="A50" s="24" t="s">
        <v>688</v>
      </c>
      <c r="B50" s="24" t="s">
        <v>144</v>
      </c>
      <c r="C50" s="24" t="s">
        <v>364</v>
      </c>
      <c r="D50" s="24" t="s">
        <v>689</v>
      </c>
      <c r="E50" s="24" t="s">
        <v>690</v>
      </c>
      <c r="F50" s="24" t="s">
        <v>691</v>
      </c>
      <c r="G50" s="24" t="s">
        <v>692</v>
      </c>
      <c r="H50" s="24" t="s">
        <v>693</v>
      </c>
      <c r="I50" s="24" t="s">
        <v>694</v>
      </c>
      <c r="J50" s="24" t="s">
        <v>352</v>
      </c>
      <c r="K50" s="24" t="n">
        <v>3</v>
      </c>
      <c r="L50" s="24" t="s">
        <v>353</v>
      </c>
      <c r="M50" s="24" t="s">
        <v>363</v>
      </c>
      <c r="N50" s="24" t="s">
        <v>695</v>
      </c>
      <c r="O50" s="24" t="s">
        <v>372</v>
      </c>
    </row>
    <row r="51" customFormat="false" ht="150" hidden="false" customHeight="true" outlineLevel="0" collapsed="false">
      <c r="A51" s="24" t="s">
        <v>696</v>
      </c>
      <c r="B51" s="24" t="s">
        <v>255</v>
      </c>
      <c r="C51" s="24" t="s">
        <v>146</v>
      </c>
      <c r="D51" s="24" t="s">
        <v>697</v>
      </c>
      <c r="E51" s="24" t="s">
        <v>649</v>
      </c>
      <c r="F51" s="24" t="s">
        <v>698</v>
      </c>
      <c r="G51" s="24" t="s">
        <v>699</v>
      </c>
      <c r="H51" s="24" t="s">
        <v>700</v>
      </c>
      <c r="I51" s="24" t="s">
        <v>701</v>
      </c>
      <c r="J51" s="24" t="s">
        <v>387</v>
      </c>
      <c r="K51" s="24" t="n">
        <v>5</v>
      </c>
      <c r="L51" s="24" t="s">
        <v>353</v>
      </c>
      <c r="M51" s="24" t="s">
        <v>528</v>
      </c>
      <c r="N51" s="24" t="s">
        <v>702</v>
      </c>
      <c r="O51" s="24" t="s">
        <v>152</v>
      </c>
    </row>
  </sheetData>
  <autoFilter ref="A4:N41"/>
  <mergeCells count="1">
    <mergeCell ref="A2:N2"/>
  </mergeCells>
  <conditionalFormatting sqref="J5:J41">
    <cfRule type="cellIs" priority="2" operator="equal" aboveAverage="0" equalAverage="0" bottom="0" percent="0" rank="0" text="" dxfId="11">
      <formula>"Must"</formula>
    </cfRule>
    <cfRule type="cellIs" priority="3" operator="equal" aboveAverage="0" equalAverage="0" bottom="0" percent="0" rank="0" text="" dxfId="12">
      <formula>"Should"</formula>
    </cfRule>
    <cfRule type="cellIs" priority="4" operator="equal" aboveAverage="0" equalAverage="0" bottom="0" percent="0" rank="0" text="" dxfId="13">
      <formula>"Could"</formula>
    </cfRule>
  </conditionalFormatting>
  <dataValidations count="4">
    <dataValidation allowBlank="true" errorStyle="stop" operator="between" showDropDown="false" showErrorMessage="false" showInputMessage="false" sqref="B5:B200" type="list">
      <formula1>"EP-01,EP-02,EP-03,EP-04,EP-05,EP-06,EP-07,EP-08"</formula1>
      <formula2>0</formula2>
    </dataValidation>
    <dataValidation allowBlank="true" errorStyle="stop" operator="between" showDropDown="false" showErrorMessage="false" showInputMessage="false" sqref="J5:J200" type="list">
      <formula1>"Must,Should,Could,Wont"</formula1>
      <formula2>0</formula2>
    </dataValidation>
    <dataValidation allowBlank="true" errorStyle="stop" operator="between" showDropDown="false" showErrorMessage="false" showInputMessage="false" sqref="K5:K200" type="list">
      <formula1>"1,2,3,5,8,13"</formula1>
      <formula2>0</formula2>
    </dataValidation>
    <dataValidation allowBlank="true" errorStyle="stop" operator="between" showDropDown="false" showErrorMessage="false" showInputMessage="false" sqref="L5:L200" type="list">
      <formula1>"Por hacer,En progreso,En revision,Hecho"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04"/>
    <col collapsed="false" customWidth="true" hidden="false" outlineLevel="0" max="4" min="4" style="1" width="34"/>
  </cols>
  <sheetData>
    <row r="1" customFormat="false" ht="17.25" hidden="false" customHeight="true" outlineLevel="0" collapsed="false">
      <c r="A1" s="22" t="s">
        <v>703</v>
      </c>
    </row>
    <row r="2" customFormat="false" ht="27.75" hidden="false" customHeight="true" outlineLevel="0" collapsed="false">
      <c r="A2" s="16" t="s">
        <v>704</v>
      </c>
      <c r="B2" s="16"/>
      <c r="C2" s="16"/>
      <c r="D2" s="16"/>
    </row>
    <row r="4" customFormat="false" ht="30" hidden="false" customHeight="true" outlineLevel="0" collapsed="false">
      <c r="A4" s="35" t="s">
        <v>184</v>
      </c>
      <c r="B4" s="35" t="s">
        <v>705</v>
      </c>
      <c r="C4" s="35" t="s">
        <v>706</v>
      </c>
      <c r="D4" s="35" t="s">
        <v>707</v>
      </c>
    </row>
    <row r="5" customFormat="false" ht="23.25" hidden="false" customHeight="true" outlineLevel="0" collapsed="false">
      <c r="A5" s="26" t="s">
        <v>708</v>
      </c>
      <c r="B5" s="6" t="s">
        <v>709</v>
      </c>
      <c r="C5" s="7" t="s">
        <v>710</v>
      </c>
      <c r="D5" s="7" t="s">
        <v>711</v>
      </c>
    </row>
    <row r="6" customFormat="false" ht="23.25" hidden="false" customHeight="true" outlineLevel="0" collapsed="false">
      <c r="A6" s="36" t="s">
        <v>712</v>
      </c>
      <c r="B6" s="37" t="s">
        <v>713</v>
      </c>
      <c r="C6" s="38" t="s">
        <v>714</v>
      </c>
      <c r="D6" s="38" t="s">
        <v>715</v>
      </c>
    </row>
    <row r="7" customFormat="false" ht="23.25" hidden="false" customHeight="true" outlineLevel="0" collapsed="false">
      <c r="A7" s="26" t="s">
        <v>716</v>
      </c>
      <c r="B7" s="6" t="s">
        <v>717</v>
      </c>
      <c r="C7" s="7" t="s">
        <v>718</v>
      </c>
      <c r="D7" s="7" t="s">
        <v>719</v>
      </c>
    </row>
    <row r="8" customFormat="false" ht="34.5" hidden="false" customHeight="true" outlineLevel="0" collapsed="false">
      <c r="A8" s="36" t="s">
        <v>720</v>
      </c>
      <c r="B8" s="37" t="s">
        <v>721</v>
      </c>
      <c r="C8" s="38" t="s">
        <v>722</v>
      </c>
      <c r="D8" s="38" t="s">
        <v>723</v>
      </c>
    </row>
    <row r="9" customFormat="false" ht="42" hidden="false" customHeight="true" outlineLevel="0" collapsed="false">
      <c r="A9" s="32" t="s">
        <v>724</v>
      </c>
      <c r="B9" s="34" t="s">
        <v>69</v>
      </c>
      <c r="C9" s="24" t="s">
        <v>725</v>
      </c>
      <c r="D9" s="24" t="s">
        <v>726</v>
      </c>
    </row>
    <row r="10" customFormat="false" ht="23.25" hidden="false" customHeight="true" outlineLevel="0" collapsed="false">
      <c r="A10" s="36" t="s">
        <v>727</v>
      </c>
      <c r="B10" s="37" t="s">
        <v>728</v>
      </c>
      <c r="C10" s="38" t="s">
        <v>729</v>
      </c>
      <c r="D10" s="38" t="s">
        <v>730</v>
      </c>
    </row>
    <row r="11" customFormat="false" ht="34.5" hidden="false" customHeight="true" outlineLevel="0" collapsed="false">
      <c r="A11" s="26" t="s">
        <v>731</v>
      </c>
      <c r="B11" s="6" t="s">
        <v>732</v>
      </c>
      <c r="C11" s="7" t="s">
        <v>733</v>
      </c>
      <c r="D11" s="7" t="s">
        <v>734</v>
      </c>
    </row>
    <row r="12" customFormat="false" ht="105" hidden="false" customHeight="true" outlineLevel="0" collapsed="false">
      <c r="A12" s="32" t="s">
        <v>735</v>
      </c>
      <c r="B12" s="34" t="s">
        <v>736</v>
      </c>
      <c r="C12" s="24" t="s">
        <v>737</v>
      </c>
      <c r="D12" s="24" t="s">
        <v>738</v>
      </c>
    </row>
    <row r="13" customFormat="false" ht="23.25" hidden="false" customHeight="true" outlineLevel="0" collapsed="false">
      <c r="A13" s="26" t="s">
        <v>739</v>
      </c>
      <c r="B13" s="6" t="s">
        <v>740</v>
      </c>
      <c r="C13" s="7" t="s">
        <v>741</v>
      </c>
      <c r="D13" s="7" t="s">
        <v>742</v>
      </c>
    </row>
    <row r="14" customFormat="false" ht="23.25" hidden="false" customHeight="true" outlineLevel="0" collapsed="false">
      <c r="A14" s="36" t="s">
        <v>743</v>
      </c>
      <c r="B14" s="37" t="s">
        <v>744</v>
      </c>
      <c r="C14" s="38" t="s">
        <v>745</v>
      </c>
      <c r="D14" s="38" t="s">
        <v>746</v>
      </c>
    </row>
    <row r="15" customFormat="false" ht="67.5" hidden="false" customHeight="true" outlineLevel="0" collapsed="false">
      <c r="A15" s="32" t="s">
        <v>747</v>
      </c>
      <c r="B15" s="34" t="s">
        <v>748</v>
      </c>
      <c r="C15" s="24" t="s">
        <v>749</v>
      </c>
      <c r="D15" s="24" t="s">
        <v>750</v>
      </c>
    </row>
    <row r="16" customFormat="false" ht="30" hidden="false" customHeight="true" outlineLevel="0" collapsed="false">
      <c r="A16" s="32" t="s">
        <v>751</v>
      </c>
      <c r="B16" s="34" t="s">
        <v>752</v>
      </c>
      <c r="C16" s="24" t="s">
        <v>753</v>
      </c>
      <c r="D16" s="24" t="s">
        <v>754</v>
      </c>
    </row>
    <row r="17" customFormat="false" ht="34.5" hidden="false" customHeight="true" outlineLevel="0" collapsed="false">
      <c r="A17" s="26" t="s">
        <v>755</v>
      </c>
      <c r="B17" s="6" t="s">
        <v>756</v>
      </c>
      <c r="C17" s="7" t="s">
        <v>757</v>
      </c>
      <c r="D17" s="7" t="s">
        <v>758</v>
      </c>
    </row>
    <row r="18" customFormat="false" ht="142.5" hidden="false" customHeight="true" outlineLevel="0" collapsed="false">
      <c r="A18" s="32" t="s">
        <v>759</v>
      </c>
      <c r="B18" s="34" t="s">
        <v>760</v>
      </c>
      <c r="C18" s="24" t="s">
        <v>761</v>
      </c>
      <c r="D18" s="24" t="s">
        <v>762</v>
      </c>
    </row>
    <row r="19" customFormat="false" ht="79.5" hidden="false" customHeight="true" outlineLevel="0" collapsed="false">
      <c r="A19" s="32" t="s">
        <v>763</v>
      </c>
      <c r="B19" s="34" t="s">
        <v>764</v>
      </c>
      <c r="C19" s="24" t="s">
        <v>765</v>
      </c>
      <c r="D19" s="24" t="s">
        <v>766</v>
      </c>
    </row>
    <row r="20" customFormat="false" ht="52.5" hidden="false" customHeight="true" outlineLevel="0" collapsed="false">
      <c r="A20" s="24" t="s">
        <v>767</v>
      </c>
      <c r="B20" s="24" t="s">
        <v>768</v>
      </c>
      <c r="C20" s="24" t="s">
        <v>769</v>
      </c>
      <c r="D20" s="24" t="s">
        <v>770</v>
      </c>
    </row>
    <row r="21" customFormat="false" ht="66" hidden="false" customHeight="true" outlineLevel="0" collapsed="false">
      <c r="A21" s="24" t="s">
        <v>771</v>
      </c>
      <c r="B21" s="24" t="s">
        <v>772</v>
      </c>
      <c r="C21" s="24" t="s">
        <v>773</v>
      </c>
      <c r="D21" s="24" t="s">
        <v>774</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15" activeCellId="0" sqref="B15"/>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68"/>
    <col collapsed="false" customWidth="true" hidden="false" outlineLevel="0" max="4" min="4" style="1" width="60"/>
    <col collapsed="false" customWidth="true" hidden="false" outlineLevel="0" max="5" min="5" style="1" width="11"/>
    <col collapsed="false" customWidth="true" hidden="false" outlineLevel="0" max="6" min="6" style="1" width="30"/>
    <col collapsed="false" customWidth="true" hidden="false" outlineLevel="0" max="7" min="7" style="1" width="34"/>
  </cols>
  <sheetData>
    <row r="1" customFormat="false" ht="18.75" hidden="false" customHeight="true" outlineLevel="0" collapsed="false">
      <c r="A1" s="2" t="s">
        <v>112</v>
      </c>
    </row>
    <row r="2" customFormat="false" ht="27.75" hidden="false" customHeight="true" outlineLevel="0" collapsed="false">
      <c r="A2" s="16" t="s">
        <v>775</v>
      </c>
      <c r="B2" s="16"/>
      <c r="C2" s="16"/>
      <c r="D2" s="16"/>
      <c r="E2" s="16"/>
      <c r="F2" s="16"/>
    </row>
    <row r="4" customFormat="false" ht="42" hidden="false" customHeight="true" outlineLevel="0" collapsed="false">
      <c r="A4" s="18" t="s">
        <v>184</v>
      </c>
      <c r="B4" s="18" t="s">
        <v>776</v>
      </c>
      <c r="C4" s="18" t="s">
        <v>777</v>
      </c>
      <c r="D4" s="18" t="s">
        <v>778</v>
      </c>
      <c r="E4" s="18" t="s">
        <v>779</v>
      </c>
      <c r="F4" s="18" t="s">
        <v>780</v>
      </c>
      <c r="G4" s="18" t="s">
        <v>781</v>
      </c>
    </row>
    <row r="5" customFormat="false" ht="67.5" hidden="false" customHeight="true" outlineLevel="0" collapsed="false">
      <c r="A5" s="26" t="s">
        <v>782</v>
      </c>
      <c r="B5" s="6" t="s">
        <v>783</v>
      </c>
      <c r="C5" s="7" t="s">
        <v>784</v>
      </c>
      <c r="D5" s="7" t="s">
        <v>785</v>
      </c>
      <c r="E5" s="19" t="s">
        <v>786</v>
      </c>
      <c r="F5" s="7" t="s">
        <v>787</v>
      </c>
      <c r="G5" s="7" t="s">
        <v>788</v>
      </c>
    </row>
    <row r="6" customFormat="false" ht="42" hidden="false" customHeight="true" outlineLevel="0" collapsed="false">
      <c r="A6" s="26" t="s">
        <v>379</v>
      </c>
      <c r="B6" s="6" t="s">
        <v>789</v>
      </c>
      <c r="C6" s="7" t="s">
        <v>790</v>
      </c>
      <c r="D6" s="7" t="s">
        <v>791</v>
      </c>
      <c r="E6" s="19" t="s">
        <v>792</v>
      </c>
      <c r="F6" s="7" t="s">
        <v>793</v>
      </c>
      <c r="G6" s="7" t="s">
        <v>794</v>
      </c>
    </row>
    <row r="7" customFormat="false" ht="92.25" hidden="false" customHeight="true" outlineLevel="0" collapsed="false">
      <c r="A7" s="26" t="s">
        <v>795</v>
      </c>
      <c r="B7" s="6" t="s">
        <v>796</v>
      </c>
      <c r="C7" s="7" t="s">
        <v>797</v>
      </c>
      <c r="D7" s="7" t="s">
        <v>798</v>
      </c>
      <c r="E7" s="19" t="s">
        <v>792</v>
      </c>
      <c r="F7" s="7" t="s">
        <v>799</v>
      </c>
      <c r="G7" s="7" t="s">
        <v>794</v>
      </c>
    </row>
    <row r="8" customFormat="false" ht="42" hidden="false" customHeight="true" outlineLevel="0" collapsed="false">
      <c r="A8" s="26" t="s">
        <v>800</v>
      </c>
      <c r="B8" s="6" t="s">
        <v>801</v>
      </c>
      <c r="C8" s="7" t="s">
        <v>802</v>
      </c>
      <c r="D8" s="7" t="s">
        <v>803</v>
      </c>
      <c r="E8" s="19" t="s">
        <v>786</v>
      </c>
      <c r="F8" s="7" t="s">
        <v>804</v>
      </c>
      <c r="G8" s="7" t="s">
        <v>805</v>
      </c>
    </row>
    <row r="9" customFormat="false" ht="105" hidden="false" customHeight="true" outlineLevel="0" collapsed="false">
      <c r="A9" s="26" t="s">
        <v>806</v>
      </c>
      <c r="B9" s="6" t="s">
        <v>807</v>
      </c>
      <c r="C9" s="7" t="s">
        <v>808</v>
      </c>
      <c r="D9" s="7" t="s">
        <v>809</v>
      </c>
      <c r="E9" s="19" t="s">
        <v>786</v>
      </c>
      <c r="F9" s="7" t="s">
        <v>810</v>
      </c>
      <c r="G9" s="7" t="s">
        <v>811</v>
      </c>
    </row>
    <row r="10" customFormat="false" ht="54.75" hidden="false" customHeight="true" outlineLevel="0" collapsed="false">
      <c r="A10" s="26" t="s">
        <v>812</v>
      </c>
      <c r="B10" s="6" t="s">
        <v>813</v>
      </c>
      <c r="C10" s="7" t="s">
        <v>814</v>
      </c>
      <c r="D10" s="7" t="s">
        <v>815</v>
      </c>
      <c r="E10" s="19" t="s">
        <v>816</v>
      </c>
      <c r="F10" s="7" t="s">
        <v>817</v>
      </c>
      <c r="G10" s="7" t="s">
        <v>145</v>
      </c>
    </row>
    <row r="11" customFormat="false" ht="79.5" hidden="false" customHeight="true" outlineLevel="0" collapsed="false">
      <c r="A11" s="26" t="s">
        <v>818</v>
      </c>
      <c r="B11" s="6" t="s">
        <v>819</v>
      </c>
      <c r="C11" s="7" t="s">
        <v>820</v>
      </c>
      <c r="D11" s="7" t="s">
        <v>821</v>
      </c>
      <c r="E11" s="19" t="s">
        <v>786</v>
      </c>
      <c r="F11" s="7" t="s">
        <v>822</v>
      </c>
      <c r="G11" s="7" t="s">
        <v>823</v>
      </c>
    </row>
    <row r="12" customFormat="false" ht="42" hidden="false" customHeight="true" outlineLevel="0" collapsed="false">
      <c r="A12" s="26" t="s">
        <v>424</v>
      </c>
      <c r="B12" s="6" t="s">
        <v>824</v>
      </c>
      <c r="C12" s="7" t="s">
        <v>825</v>
      </c>
      <c r="D12" s="7" t="s">
        <v>826</v>
      </c>
      <c r="E12" s="19" t="s">
        <v>786</v>
      </c>
      <c r="F12" s="7" t="s">
        <v>827</v>
      </c>
      <c r="G12" s="7" t="s">
        <v>145</v>
      </c>
    </row>
    <row r="13" customFormat="false" ht="42" hidden="false" customHeight="true" outlineLevel="0" collapsed="false">
      <c r="A13" s="26" t="s">
        <v>828</v>
      </c>
      <c r="B13" s="6" t="s">
        <v>829</v>
      </c>
      <c r="C13" s="7" t="s">
        <v>830</v>
      </c>
      <c r="D13" s="7" t="s">
        <v>831</v>
      </c>
      <c r="E13" s="19" t="s">
        <v>816</v>
      </c>
      <c r="F13" s="7" t="s">
        <v>832</v>
      </c>
      <c r="G13" s="7" t="s">
        <v>833</v>
      </c>
    </row>
    <row r="14" customFormat="false" ht="67.5" hidden="false" customHeight="true" outlineLevel="0" collapsed="false">
      <c r="A14" s="32" t="s">
        <v>834</v>
      </c>
      <c r="B14" s="34" t="s">
        <v>835</v>
      </c>
      <c r="C14" s="24" t="s">
        <v>836</v>
      </c>
      <c r="D14" s="24" t="s">
        <v>837</v>
      </c>
      <c r="E14" s="33" t="s">
        <v>816</v>
      </c>
      <c r="F14" s="24" t="s">
        <v>838</v>
      </c>
      <c r="G14" s="24" t="s">
        <v>839</v>
      </c>
    </row>
    <row r="15" customFormat="false" ht="92.25" hidden="false" customHeight="true" outlineLevel="0" collapsed="false">
      <c r="A15" s="24" t="s">
        <v>840</v>
      </c>
      <c r="B15" s="24" t="s">
        <v>841</v>
      </c>
      <c r="C15" s="24" t="s">
        <v>842</v>
      </c>
      <c r="D15" s="24" t="s">
        <v>843</v>
      </c>
      <c r="E15" s="24" t="s">
        <v>786</v>
      </c>
      <c r="F15" s="24" t="s">
        <v>844</v>
      </c>
      <c r="G15" s="24" t="s">
        <v>845</v>
      </c>
    </row>
    <row r="16" customFormat="false" ht="15" hidden="false" customHeight="true" outlineLevel="0" collapsed="false">
      <c r="A16" s="17" t="s">
        <v>846</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21" activePane="bottomRight" state="frozen"/>
      <selection pane="topLeft" activeCell="A1" activeCellId="0" sqref="A1"/>
      <selection pane="topRight" activeCell="C1" activeCellId="0" sqref="C1"/>
      <selection pane="bottomLeft" activeCell="A21" activeCellId="0" sqref="A21"/>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8" min="3" style="1" width="7"/>
    <col collapsed="false" customWidth="true" hidden="false" outlineLevel="0" max="9" min="9" style="1" width="80"/>
  </cols>
  <sheetData>
    <row r="1" customFormat="false" ht="18.75" hidden="false" customHeight="true" outlineLevel="0" collapsed="false">
      <c r="A1" s="2" t="s">
        <v>847</v>
      </c>
    </row>
    <row r="2" customFormat="false" ht="27.75" hidden="false" customHeight="true" outlineLevel="0" collapsed="false">
      <c r="A2" s="16" t="s">
        <v>848</v>
      </c>
      <c r="B2" s="16"/>
      <c r="C2" s="16"/>
      <c r="D2" s="16"/>
      <c r="E2" s="16"/>
      <c r="F2" s="16"/>
      <c r="G2" s="16"/>
      <c r="H2" s="16"/>
      <c r="I2" s="16"/>
    </row>
    <row r="4" customFormat="false" ht="30" hidden="false" customHeight="true" outlineLevel="0" collapsed="false">
      <c r="A4" s="18" t="s">
        <v>184</v>
      </c>
      <c r="B4" s="18" t="s">
        <v>335</v>
      </c>
      <c r="C4" s="18" t="s">
        <v>849</v>
      </c>
      <c r="D4" s="18" t="s">
        <v>850</v>
      </c>
      <c r="E4" s="18" t="s">
        <v>851</v>
      </c>
      <c r="F4" s="18" t="s">
        <v>852</v>
      </c>
      <c r="G4" s="18" t="s">
        <v>853</v>
      </c>
      <c r="H4" s="18" t="s">
        <v>854</v>
      </c>
      <c r="I4" s="18" t="s">
        <v>855</v>
      </c>
    </row>
    <row r="5" customFormat="false" ht="30" hidden="false" customHeight="true" outlineLevel="0" collapsed="false">
      <c r="A5" s="26" t="s">
        <v>345</v>
      </c>
      <c r="B5" s="7" t="s">
        <v>346</v>
      </c>
      <c r="C5" s="19" t="s">
        <v>856</v>
      </c>
      <c r="D5" s="19" t="s">
        <v>856</v>
      </c>
      <c r="E5" s="19" t="s">
        <v>856</v>
      </c>
      <c r="F5" s="19" t="s">
        <v>856</v>
      </c>
      <c r="G5" s="19" t="s">
        <v>856</v>
      </c>
      <c r="H5" s="19" t="s">
        <v>856</v>
      </c>
      <c r="I5" s="7"/>
    </row>
    <row r="6" customFormat="false" ht="18" hidden="false" customHeight="true" outlineLevel="0" collapsed="false">
      <c r="A6" s="26" t="s">
        <v>355</v>
      </c>
      <c r="B6" s="7" t="s">
        <v>356</v>
      </c>
      <c r="C6" s="19" t="s">
        <v>856</v>
      </c>
      <c r="D6" s="19" t="s">
        <v>856</v>
      </c>
      <c r="E6" s="19" t="s">
        <v>856</v>
      </c>
      <c r="F6" s="19" t="s">
        <v>856</v>
      </c>
      <c r="G6" s="19" t="s">
        <v>856</v>
      </c>
      <c r="H6" s="19" t="s">
        <v>856</v>
      </c>
      <c r="I6" s="7"/>
    </row>
    <row r="7" customFormat="false" ht="18" hidden="false" customHeight="true" outlineLevel="0" collapsed="false">
      <c r="A7" s="26" t="s">
        <v>363</v>
      </c>
      <c r="B7" s="7" t="s">
        <v>365</v>
      </c>
      <c r="C7" s="19" t="s">
        <v>856</v>
      </c>
      <c r="D7" s="19" t="s">
        <v>856</v>
      </c>
      <c r="E7" s="19" t="s">
        <v>856</v>
      </c>
      <c r="F7" s="19" t="s">
        <v>856</v>
      </c>
      <c r="G7" s="19" t="s">
        <v>856</v>
      </c>
      <c r="H7" s="19" t="s">
        <v>856</v>
      </c>
      <c r="I7" s="7"/>
    </row>
    <row r="8" customFormat="false" ht="18" hidden="false" customHeight="true" outlineLevel="0" collapsed="false">
      <c r="A8" s="26" t="s">
        <v>107</v>
      </c>
      <c r="B8" s="7" t="s">
        <v>373</v>
      </c>
      <c r="C8" s="19" t="s">
        <v>856</v>
      </c>
      <c r="D8" s="19" t="s">
        <v>856</v>
      </c>
      <c r="E8" s="19" t="s">
        <v>856</v>
      </c>
      <c r="F8" s="19" t="s">
        <v>856</v>
      </c>
      <c r="G8" s="19" t="s">
        <v>856</v>
      </c>
      <c r="H8" s="19" t="s">
        <v>856</v>
      </c>
      <c r="I8" s="7"/>
    </row>
    <row r="9" customFormat="false" ht="18" hidden="false" customHeight="true" outlineLevel="0" collapsed="false">
      <c r="A9" s="26" t="s">
        <v>380</v>
      </c>
      <c r="B9" s="7" t="s">
        <v>381</v>
      </c>
      <c r="C9" s="19" t="s">
        <v>856</v>
      </c>
      <c r="D9" s="19" t="s">
        <v>856</v>
      </c>
      <c r="E9" s="19" t="s">
        <v>856</v>
      </c>
      <c r="F9" s="19" t="s">
        <v>856</v>
      </c>
      <c r="G9" s="19" t="s">
        <v>856</v>
      </c>
      <c r="H9" s="19" t="s">
        <v>856</v>
      </c>
      <c r="I9" s="7"/>
    </row>
    <row r="10" customFormat="false" ht="18" hidden="false" customHeight="true" outlineLevel="0" collapsed="false">
      <c r="A10" s="26" t="s">
        <v>389</v>
      </c>
      <c r="B10" s="7" t="s">
        <v>390</v>
      </c>
      <c r="C10" s="19" t="s">
        <v>856</v>
      </c>
      <c r="D10" s="19" t="s">
        <v>856</v>
      </c>
      <c r="E10" s="19" t="s">
        <v>856</v>
      </c>
      <c r="F10" s="19" t="s">
        <v>856</v>
      </c>
      <c r="G10" s="19" t="s">
        <v>856</v>
      </c>
      <c r="H10" s="19" t="s">
        <v>856</v>
      </c>
      <c r="I10" s="7"/>
    </row>
    <row r="11" customFormat="false" ht="18" hidden="false" customHeight="true" outlineLevel="0" collapsed="false">
      <c r="A11" s="26" t="s">
        <v>396</v>
      </c>
      <c r="B11" s="7" t="s">
        <v>397</v>
      </c>
      <c r="C11" s="19" t="s">
        <v>856</v>
      </c>
      <c r="D11" s="19" t="s">
        <v>856</v>
      </c>
      <c r="E11" s="19" t="s">
        <v>856</v>
      </c>
      <c r="F11" s="19" t="s">
        <v>856</v>
      </c>
      <c r="G11" s="19" t="s">
        <v>856</v>
      </c>
      <c r="H11" s="19" t="s">
        <v>856</v>
      </c>
      <c r="I11" s="7"/>
    </row>
    <row r="12" customFormat="false" ht="18" hidden="false" customHeight="true" outlineLevel="0" collapsed="false">
      <c r="A12" s="26" t="s">
        <v>404</v>
      </c>
      <c r="B12" s="7" t="s">
        <v>406</v>
      </c>
      <c r="C12" s="19" t="s">
        <v>856</v>
      </c>
      <c r="D12" s="19" t="s">
        <v>856</v>
      </c>
      <c r="E12" s="19" t="s">
        <v>856</v>
      </c>
      <c r="F12" s="19" t="s">
        <v>856</v>
      </c>
      <c r="G12" s="19" t="s">
        <v>856</v>
      </c>
      <c r="H12" s="19" t="s">
        <v>856</v>
      </c>
      <c r="I12" s="7"/>
    </row>
    <row r="13" customFormat="false" ht="18" hidden="false" customHeight="true" outlineLevel="0" collapsed="false">
      <c r="A13" s="26" t="s">
        <v>412</v>
      </c>
      <c r="B13" s="7" t="s">
        <v>413</v>
      </c>
      <c r="C13" s="19" t="s">
        <v>856</v>
      </c>
      <c r="D13" s="19" t="s">
        <v>856</v>
      </c>
      <c r="E13" s="19" t="s">
        <v>856</v>
      </c>
      <c r="F13" s="19" t="s">
        <v>856</v>
      </c>
      <c r="G13" s="19" t="s">
        <v>856</v>
      </c>
      <c r="H13" s="19" t="s">
        <v>856</v>
      </c>
      <c r="I13" s="7"/>
    </row>
    <row r="14" customFormat="false" ht="18" hidden="false" customHeight="true" outlineLevel="0" collapsed="false">
      <c r="A14" s="26" t="s">
        <v>227</v>
      </c>
      <c r="B14" s="7" t="s">
        <v>419</v>
      </c>
      <c r="C14" s="19" t="s">
        <v>856</v>
      </c>
      <c r="D14" s="19" t="s">
        <v>856</v>
      </c>
      <c r="E14" s="19" t="s">
        <v>856</v>
      </c>
      <c r="F14" s="19" t="s">
        <v>856</v>
      </c>
      <c r="G14" s="19" t="s">
        <v>856</v>
      </c>
      <c r="H14" s="19" t="s">
        <v>856</v>
      </c>
      <c r="I14" s="7"/>
    </row>
    <row r="15" customFormat="false" ht="18" hidden="false" customHeight="true" outlineLevel="0" collapsed="false">
      <c r="A15" s="26" t="s">
        <v>425</v>
      </c>
      <c r="B15" s="7" t="s">
        <v>426</v>
      </c>
      <c r="C15" s="19" t="s">
        <v>856</v>
      </c>
      <c r="D15" s="19" t="s">
        <v>856</v>
      </c>
      <c r="E15" s="19" t="s">
        <v>856</v>
      </c>
      <c r="F15" s="19" t="s">
        <v>856</v>
      </c>
      <c r="G15" s="19" t="s">
        <v>856</v>
      </c>
      <c r="H15" s="19" t="s">
        <v>856</v>
      </c>
      <c r="I15" s="7"/>
    </row>
    <row r="16" customFormat="false" ht="42" hidden="false" customHeight="true" outlineLevel="0" collapsed="false">
      <c r="A16" s="32" t="s">
        <v>433</v>
      </c>
      <c r="B16" s="24" t="s">
        <v>434</v>
      </c>
      <c r="C16" s="33" t="s">
        <v>856</v>
      </c>
      <c r="D16" s="33" t="s">
        <v>856</v>
      </c>
      <c r="E16" s="33" t="s">
        <v>856</v>
      </c>
      <c r="F16" s="33" t="s">
        <v>856</v>
      </c>
      <c r="G16" s="33" t="s">
        <v>856</v>
      </c>
      <c r="H16" s="33" t="s">
        <v>856</v>
      </c>
      <c r="I16" s="24" t="s">
        <v>857</v>
      </c>
    </row>
    <row r="17" customFormat="false" ht="30" hidden="false" customHeight="true" outlineLevel="0" collapsed="false">
      <c r="A17" s="32" t="s">
        <v>440</v>
      </c>
      <c r="B17" s="24" t="s">
        <v>441</v>
      </c>
      <c r="C17" s="33" t="s">
        <v>858</v>
      </c>
      <c r="D17" s="33" t="s">
        <v>856</v>
      </c>
      <c r="E17" s="33" t="s">
        <v>856</v>
      </c>
      <c r="F17" s="33" t="s">
        <v>856</v>
      </c>
      <c r="G17" s="33" t="s">
        <v>856</v>
      </c>
      <c r="H17" s="33" t="s">
        <v>856</v>
      </c>
      <c r="I17" s="24" t="s">
        <v>859</v>
      </c>
    </row>
    <row r="18" customFormat="false" ht="30" hidden="false" customHeight="true" outlineLevel="0" collapsed="false">
      <c r="A18" s="26" t="s">
        <v>447</v>
      </c>
      <c r="B18" s="7" t="s">
        <v>448</v>
      </c>
      <c r="C18" s="19" t="s">
        <v>856</v>
      </c>
      <c r="D18" s="19" t="s">
        <v>856</v>
      </c>
      <c r="E18" s="19" t="s">
        <v>856</v>
      </c>
      <c r="F18" s="19" t="s">
        <v>856</v>
      </c>
      <c r="G18" s="19" t="s">
        <v>856</v>
      </c>
      <c r="H18" s="19" t="s">
        <v>856</v>
      </c>
      <c r="I18" s="7"/>
    </row>
    <row r="19" customFormat="false" ht="18" hidden="false" customHeight="true" outlineLevel="0" collapsed="false">
      <c r="A19" s="26" t="s">
        <v>456</v>
      </c>
      <c r="B19" s="7" t="s">
        <v>457</v>
      </c>
      <c r="C19" s="19" t="s">
        <v>856</v>
      </c>
      <c r="D19" s="19" t="s">
        <v>856</v>
      </c>
      <c r="E19" s="19" t="s">
        <v>856</v>
      </c>
      <c r="F19" s="19" t="s">
        <v>856</v>
      </c>
      <c r="G19" s="19" t="s">
        <v>856</v>
      </c>
      <c r="H19" s="19" t="s">
        <v>856</v>
      </c>
      <c r="I19" s="7"/>
    </row>
    <row r="20" customFormat="false" ht="30" hidden="false" customHeight="true" outlineLevel="0" collapsed="false">
      <c r="A20" s="26" t="s">
        <v>463</v>
      </c>
      <c r="B20" s="7" t="s">
        <v>464</v>
      </c>
      <c r="C20" s="19" t="s">
        <v>856</v>
      </c>
      <c r="D20" s="19" t="s">
        <v>856</v>
      </c>
      <c r="E20" s="19" t="s">
        <v>856</v>
      </c>
      <c r="F20" s="19" t="s">
        <v>856</v>
      </c>
      <c r="G20" s="19" t="s">
        <v>856</v>
      </c>
      <c r="H20" s="19" t="s">
        <v>856</v>
      </c>
      <c r="I20" s="7"/>
    </row>
    <row r="21" customFormat="false" ht="30" hidden="false" customHeight="true" outlineLevel="0" collapsed="false">
      <c r="A21" s="26" t="s">
        <v>470</v>
      </c>
      <c r="B21" s="7" t="s">
        <v>471</v>
      </c>
      <c r="C21" s="19" t="s">
        <v>856</v>
      </c>
      <c r="D21" s="19" t="s">
        <v>856</v>
      </c>
      <c r="E21" s="19" t="s">
        <v>856</v>
      </c>
      <c r="F21" s="19" t="s">
        <v>856</v>
      </c>
      <c r="G21" s="19" t="s">
        <v>856</v>
      </c>
      <c r="H21" s="19" t="s">
        <v>856</v>
      </c>
      <c r="I21" s="7"/>
    </row>
    <row r="22" customFormat="false" ht="42" hidden="false" customHeight="true" outlineLevel="0" collapsed="false">
      <c r="A22" s="32" t="s">
        <v>477</v>
      </c>
      <c r="B22" s="24" t="s">
        <v>478</v>
      </c>
      <c r="C22" s="33" t="s">
        <v>856</v>
      </c>
      <c r="D22" s="33" t="s">
        <v>856</v>
      </c>
      <c r="E22" s="33" t="s">
        <v>856</v>
      </c>
      <c r="F22" s="33" t="s">
        <v>856</v>
      </c>
      <c r="G22" s="33" t="s">
        <v>856</v>
      </c>
      <c r="H22" s="33" t="s">
        <v>856</v>
      </c>
      <c r="I22" s="24" t="s">
        <v>860</v>
      </c>
    </row>
    <row r="23" customFormat="false" ht="18" hidden="false" customHeight="true" outlineLevel="0" collapsed="false">
      <c r="A23" s="26" t="s">
        <v>484</v>
      </c>
      <c r="B23" s="7" t="s">
        <v>485</v>
      </c>
      <c r="C23" s="19" t="s">
        <v>856</v>
      </c>
      <c r="D23" s="19" t="s">
        <v>856</v>
      </c>
      <c r="E23" s="19" t="s">
        <v>856</v>
      </c>
      <c r="F23" s="19" t="s">
        <v>856</v>
      </c>
      <c r="G23" s="19" t="s">
        <v>856</v>
      </c>
      <c r="H23" s="19" t="s">
        <v>856</v>
      </c>
      <c r="I23" s="7"/>
    </row>
    <row r="24" customFormat="false" ht="30" hidden="false" customHeight="true" outlineLevel="0" collapsed="false">
      <c r="A24" s="32" t="s">
        <v>491</v>
      </c>
      <c r="B24" s="24" t="s">
        <v>492</v>
      </c>
      <c r="C24" s="33" t="s">
        <v>856</v>
      </c>
      <c r="D24" s="33" t="s">
        <v>856</v>
      </c>
      <c r="E24" s="33" t="s">
        <v>856</v>
      </c>
      <c r="F24" s="33" t="s">
        <v>856</v>
      </c>
      <c r="G24" s="33" t="s">
        <v>856</v>
      </c>
      <c r="H24" s="33" t="s">
        <v>856</v>
      </c>
      <c r="I24" s="24" t="s">
        <v>861</v>
      </c>
    </row>
    <row r="25" customFormat="false" ht="18" hidden="false" customHeight="true" outlineLevel="0" collapsed="false">
      <c r="A25" s="26" t="s">
        <v>501</v>
      </c>
      <c r="B25" s="7" t="s">
        <v>502</v>
      </c>
      <c r="C25" s="19" t="s">
        <v>856</v>
      </c>
      <c r="D25" s="19" t="s">
        <v>856</v>
      </c>
      <c r="E25" s="19" t="s">
        <v>856</v>
      </c>
      <c r="F25" s="19" t="s">
        <v>856</v>
      </c>
      <c r="G25" s="19" t="s">
        <v>856</v>
      </c>
      <c r="H25" s="19" t="s">
        <v>856</v>
      </c>
      <c r="I25" s="7"/>
    </row>
    <row r="26" customFormat="false" ht="54.75" hidden="false" customHeight="true" outlineLevel="0" collapsed="false">
      <c r="A26" s="32" t="s">
        <v>247</v>
      </c>
      <c r="B26" s="24" t="s">
        <v>509</v>
      </c>
      <c r="C26" s="33" t="s">
        <v>856</v>
      </c>
      <c r="D26" s="33" t="s">
        <v>856</v>
      </c>
      <c r="E26" s="33" t="s">
        <v>856</v>
      </c>
      <c r="F26" s="33" t="s">
        <v>856</v>
      </c>
      <c r="G26" s="33" t="s">
        <v>858</v>
      </c>
      <c r="H26" s="33" t="s">
        <v>856</v>
      </c>
      <c r="I26" s="24" t="s">
        <v>862</v>
      </c>
    </row>
    <row r="27" customFormat="false" ht="18" hidden="false" customHeight="true" outlineLevel="0" collapsed="false">
      <c r="A27" s="26" t="s">
        <v>251</v>
      </c>
      <c r="B27" s="7" t="s">
        <v>515</v>
      </c>
      <c r="C27" s="19" t="s">
        <v>856</v>
      </c>
      <c r="D27" s="19" t="s">
        <v>856</v>
      </c>
      <c r="E27" s="19" t="s">
        <v>856</v>
      </c>
      <c r="F27" s="19" t="s">
        <v>856</v>
      </c>
      <c r="G27" s="19" t="s">
        <v>856</v>
      </c>
      <c r="H27" s="19" t="s">
        <v>856</v>
      </c>
      <c r="I27" s="7"/>
    </row>
    <row r="28" customFormat="false" ht="30" hidden="false" customHeight="true" outlineLevel="0" collapsed="false">
      <c r="A28" s="26" t="s">
        <v>521</v>
      </c>
      <c r="B28" s="7" t="s">
        <v>522</v>
      </c>
      <c r="C28" s="19" t="s">
        <v>856</v>
      </c>
      <c r="D28" s="19" t="s">
        <v>856</v>
      </c>
      <c r="E28" s="19" t="s">
        <v>856</v>
      </c>
      <c r="F28" s="19" t="s">
        <v>856</v>
      </c>
      <c r="G28" s="19" t="s">
        <v>856</v>
      </c>
      <c r="H28" s="19" t="s">
        <v>856</v>
      </c>
      <c r="I28" s="7"/>
    </row>
    <row r="29" customFormat="false" ht="18" hidden="false" customHeight="true" outlineLevel="0" collapsed="false">
      <c r="A29" s="26" t="s">
        <v>528</v>
      </c>
      <c r="B29" s="7" t="s">
        <v>529</v>
      </c>
      <c r="C29" s="19" t="s">
        <v>856</v>
      </c>
      <c r="D29" s="19" t="s">
        <v>856</v>
      </c>
      <c r="E29" s="19" t="s">
        <v>856</v>
      </c>
      <c r="F29" s="19" t="s">
        <v>856</v>
      </c>
      <c r="G29" s="19" t="s">
        <v>856</v>
      </c>
      <c r="H29" s="19" t="s">
        <v>856</v>
      </c>
      <c r="I29" s="7"/>
    </row>
    <row r="30" customFormat="false" ht="18" hidden="false" customHeight="true" outlineLevel="0" collapsed="false">
      <c r="A30" s="26" t="s">
        <v>536</v>
      </c>
      <c r="B30" s="7" t="s">
        <v>537</v>
      </c>
      <c r="C30" s="19" t="s">
        <v>856</v>
      </c>
      <c r="D30" s="19" t="s">
        <v>856</v>
      </c>
      <c r="E30" s="19" t="s">
        <v>856</v>
      </c>
      <c r="F30" s="19" t="s">
        <v>856</v>
      </c>
      <c r="G30" s="19" t="s">
        <v>856</v>
      </c>
      <c r="H30" s="19" t="s">
        <v>856</v>
      </c>
      <c r="I30" s="7"/>
    </row>
    <row r="31" customFormat="false" ht="18" hidden="false" customHeight="true" outlineLevel="0" collapsed="false">
      <c r="A31" s="26" t="s">
        <v>543</v>
      </c>
      <c r="B31" s="7" t="s">
        <v>544</v>
      </c>
      <c r="C31" s="19" t="s">
        <v>856</v>
      </c>
      <c r="D31" s="19" t="s">
        <v>856</v>
      </c>
      <c r="E31" s="19" t="s">
        <v>856</v>
      </c>
      <c r="F31" s="19" t="s">
        <v>856</v>
      </c>
      <c r="G31" s="19" t="s">
        <v>856</v>
      </c>
      <c r="H31" s="19" t="s">
        <v>856</v>
      </c>
      <c r="I31" s="7"/>
    </row>
    <row r="32" customFormat="false" ht="18" hidden="false" customHeight="true" outlineLevel="0" collapsed="false">
      <c r="A32" s="26" t="s">
        <v>549</v>
      </c>
      <c r="B32" s="7" t="s">
        <v>550</v>
      </c>
      <c r="C32" s="19" t="s">
        <v>856</v>
      </c>
      <c r="D32" s="19" t="s">
        <v>856</v>
      </c>
      <c r="E32" s="19" t="s">
        <v>856</v>
      </c>
      <c r="F32" s="19" t="s">
        <v>856</v>
      </c>
      <c r="G32" s="19" t="s">
        <v>856</v>
      </c>
      <c r="H32" s="19" t="s">
        <v>856</v>
      </c>
      <c r="I32" s="7"/>
    </row>
    <row r="33" customFormat="false" ht="30" hidden="false" customHeight="true" outlineLevel="0" collapsed="false">
      <c r="A33" s="26" t="s">
        <v>556</v>
      </c>
      <c r="B33" s="7" t="s">
        <v>557</v>
      </c>
      <c r="C33" s="19" t="s">
        <v>856</v>
      </c>
      <c r="D33" s="19" t="s">
        <v>856</v>
      </c>
      <c r="E33" s="19" t="s">
        <v>856</v>
      </c>
      <c r="F33" s="19" t="s">
        <v>856</v>
      </c>
      <c r="G33" s="19" t="s">
        <v>856</v>
      </c>
      <c r="H33" s="19" t="s">
        <v>856</v>
      </c>
      <c r="I33" s="7"/>
    </row>
    <row r="34" customFormat="false" ht="18" hidden="false" customHeight="true" outlineLevel="0" collapsed="false">
      <c r="A34" s="26" t="s">
        <v>565</v>
      </c>
      <c r="B34" s="7" t="s">
        <v>566</v>
      </c>
      <c r="C34" s="19" t="s">
        <v>856</v>
      </c>
      <c r="D34" s="19" t="s">
        <v>856</v>
      </c>
      <c r="E34" s="19" t="s">
        <v>856</v>
      </c>
      <c r="F34" s="19" t="s">
        <v>856</v>
      </c>
      <c r="G34" s="19" t="s">
        <v>856</v>
      </c>
      <c r="H34" s="19" t="s">
        <v>856</v>
      </c>
      <c r="I34" s="7"/>
    </row>
    <row r="35" customFormat="false" ht="18" hidden="false" customHeight="true" outlineLevel="0" collapsed="false">
      <c r="A35" s="26" t="s">
        <v>573</v>
      </c>
      <c r="B35" s="7" t="s">
        <v>574</v>
      </c>
      <c r="C35" s="19" t="s">
        <v>856</v>
      </c>
      <c r="D35" s="19" t="s">
        <v>856</v>
      </c>
      <c r="E35" s="19" t="s">
        <v>856</v>
      </c>
      <c r="F35" s="19" t="s">
        <v>856</v>
      </c>
      <c r="G35" s="19" t="s">
        <v>856</v>
      </c>
      <c r="H35" s="19" t="s">
        <v>856</v>
      </c>
      <c r="I35" s="7"/>
    </row>
    <row r="36" customFormat="false" ht="30" hidden="false" customHeight="true" outlineLevel="0" collapsed="false">
      <c r="A36" s="26" t="s">
        <v>581</v>
      </c>
      <c r="B36" s="7" t="s">
        <v>582</v>
      </c>
      <c r="C36" s="19" t="s">
        <v>856</v>
      </c>
      <c r="D36" s="19" t="s">
        <v>856</v>
      </c>
      <c r="E36" s="19" t="s">
        <v>856</v>
      </c>
      <c r="F36" s="19" t="s">
        <v>856</v>
      </c>
      <c r="G36" s="19" t="s">
        <v>856</v>
      </c>
      <c r="H36" s="19" t="s">
        <v>856</v>
      </c>
      <c r="I36" s="7"/>
    </row>
    <row r="37" customFormat="false" ht="18" hidden="false" customHeight="true" outlineLevel="0" collapsed="false">
      <c r="A37" s="26" t="s">
        <v>589</v>
      </c>
      <c r="B37" s="7" t="s">
        <v>590</v>
      </c>
      <c r="C37" s="19" t="s">
        <v>856</v>
      </c>
      <c r="D37" s="19" t="s">
        <v>856</v>
      </c>
      <c r="E37" s="19" t="s">
        <v>856</v>
      </c>
      <c r="F37" s="19" t="s">
        <v>856</v>
      </c>
      <c r="G37" s="19" t="s">
        <v>856</v>
      </c>
      <c r="H37" s="19" t="s">
        <v>856</v>
      </c>
      <c r="I37" s="7"/>
    </row>
    <row r="38" customFormat="false" ht="18" hidden="false" customHeight="true" outlineLevel="0" collapsed="false">
      <c r="A38" s="26" t="s">
        <v>596</v>
      </c>
      <c r="B38" s="7" t="s">
        <v>597</v>
      </c>
      <c r="C38" s="19" t="s">
        <v>856</v>
      </c>
      <c r="D38" s="19" t="s">
        <v>856</v>
      </c>
      <c r="E38" s="19" t="s">
        <v>856</v>
      </c>
      <c r="F38" s="19" t="s">
        <v>856</v>
      </c>
      <c r="G38" s="19" t="s">
        <v>856</v>
      </c>
      <c r="H38" s="19" t="s">
        <v>856</v>
      </c>
      <c r="I38" s="7"/>
    </row>
    <row r="39" customFormat="false" ht="30" hidden="false" customHeight="true" outlineLevel="0" collapsed="false">
      <c r="A39" s="26" t="s">
        <v>279</v>
      </c>
      <c r="B39" s="7" t="s">
        <v>603</v>
      </c>
      <c r="C39" s="19" t="s">
        <v>856</v>
      </c>
      <c r="D39" s="19" t="s">
        <v>856</v>
      </c>
      <c r="E39" s="19" t="s">
        <v>856</v>
      </c>
      <c r="F39" s="19" t="s">
        <v>856</v>
      </c>
      <c r="G39" s="19" t="s">
        <v>856</v>
      </c>
      <c r="H39" s="19" t="s">
        <v>856</v>
      </c>
      <c r="I39" s="7"/>
    </row>
    <row r="40" customFormat="false" ht="30" hidden="false" customHeight="true" outlineLevel="0" collapsed="false">
      <c r="A40" s="26" t="s">
        <v>284</v>
      </c>
      <c r="B40" s="7" t="s">
        <v>610</v>
      </c>
      <c r="C40" s="19" t="s">
        <v>856</v>
      </c>
      <c r="D40" s="19" t="s">
        <v>856</v>
      </c>
      <c r="E40" s="19" t="s">
        <v>856</v>
      </c>
      <c r="F40" s="19" t="s">
        <v>856</v>
      </c>
      <c r="G40" s="19" t="s">
        <v>856</v>
      </c>
      <c r="H40" s="19" t="s">
        <v>856</v>
      </c>
      <c r="I40" s="7"/>
    </row>
    <row r="41" customFormat="false" ht="42" hidden="false" customHeight="true" outlineLevel="0" collapsed="false">
      <c r="A41" s="32" t="s">
        <v>289</v>
      </c>
      <c r="B41" s="24" t="s">
        <v>617</v>
      </c>
      <c r="C41" s="33" t="s">
        <v>856</v>
      </c>
      <c r="D41" s="33" t="s">
        <v>856</v>
      </c>
      <c r="E41" s="33" t="s">
        <v>856</v>
      </c>
      <c r="F41" s="33" t="s">
        <v>856</v>
      </c>
      <c r="G41" s="33" t="s">
        <v>856</v>
      </c>
      <c r="H41" s="33" t="s">
        <v>856</v>
      </c>
      <c r="I41" s="24" t="s">
        <v>863</v>
      </c>
    </row>
    <row r="42" customFormat="false" ht="18" hidden="false" customHeight="true" outlineLevel="0" collapsed="false">
      <c r="A42" s="26" t="s">
        <v>625</v>
      </c>
      <c r="B42" s="7" t="s">
        <v>626</v>
      </c>
      <c r="C42" s="19" t="s">
        <v>856</v>
      </c>
      <c r="D42" s="19" t="s">
        <v>856</v>
      </c>
      <c r="E42" s="19" t="s">
        <v>856</v>
      </c>
      <c r="F42" s="19" t="s">
        <v>856</v>
      </c>
      <c r="G42" s="19" t="s">
        <v>856</v>
      </c>
      <c r="H42" s="19" t="s">
        <v>856</v>
      </c>
      <c r="I42" s="7"/>
    </row>
    <row r="43" customFormat="false" ht="30" hidden="false" customHeight="true" outlineLevel="0" collapsed="false">
      <c r="A43" s="32" t="s">
        <v>632</v>
      </c>
      <c r="B43" s="24" t="s">
        <v>633</v>
      </c>
      <c r="C43" s="33" t="s">
        <v>858</v>
      </c>
      <c r="D43" s="33" t="s">
        <v>856</v>
      </c>
      <c r="E43" s="33" t="s">
        <v>856</v>
      </c>
      <c r="F43" s="33" t="s">
        <v>856</v>
      </c>
      <c r="G43" s="33" t="s">
        <v>856</v>
      </c>
      <c r="H43" s="33" t="s">
        <v>856</v>
      </c>
      <c r="I43" s="24" t="s">
        <v>864</v>
      </c>
    </row>
    <row r="44" customFormat="false" ht="42" hidden="false" customHeight="true" outlineLevel="0" collapsed="false">
      <c r="A44" s="32" t="s">
        <v>267</v>
      </c>
      <c r="B44" s="24" t="s">
        <v>640</v>
      </c>
      <c r="C44" s="33" t="s">
        <v>858</v>
      </c>
      <c r="D44" s="33" t="s">
        <v>856</v>
      </c>
      <c r="E44" s="33" t="s">
        <v>856</v>
      </c>
      <c r="F44" s="33" t="s">
        <v>856</v>
      </c>
      <c r="G44" s="33" t="s">
        <v>856</v>
      </c>
      <c r="H44" s="33" t="s">
        <v>856</v>
      </c>
      <c r="I44" s="24" t="s">
        <v>865</v>
      </c>
    </row>
    <row r="45" customFormat="false" ht="42" hidden="false" customHeight="true" outlineLevel="0" collapsed="false">
      <c r="A45" s="32" t="s">
        <v>688</v>
      </c>
      <c r="B45" s="24" t="s">
        <v>689</v>
      </c>
      <c r="C45" s="33" t="s">
        <v>856</v>
      </c>
      <c r="D45" s="33" t="s">
        <v>856</v>
      </c>
      <c r="E45" s="33" t="s">
        <v>856</v>
      </c>
      <c r="F45" s="33" t="s">
        <v>856</v>
      </c>
      <c r="G45" s="33" t="s">
        <v>856</v>
      </c>
      <c r="H45" s="33" t="s">
        <v>856</v>
      </c>
      <c r="I45" s="24" t="s">
        <v>866</v>
      </c>
    </row>
    <row r="46" customFormat="false" ht="42" hidden="false" customHeight="true" outlineLevel="0" collapsed="false">
      <c r="A46" s="32" t="s">
        <v>696</v>
      </c>
      <c r="B46" s="24" t="s">
        <v>697</v>
      </c>
      <c r="C46" s="33" t="s">
        <v>856</v>
      </c>
      <c r="D46" s="33" t="s">
        <v>856</v>
      </c>
      <c r="E46" s="33" t="s">
        <v>856</v>
      </c>
      <c r="F46" s="33" t="s">
        <v>856</v>
      </c>
      <c r="G46" s="33" t="s">
        <v>856</v>
      </c>
      <c r="H46" s="33" t="s">
        <v>856</v>
      </c>
      <c r="I46" s="24" t="s">
        <v>867</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9"/>
    <col collapsed="false" customWidth="true" hidden="false" outlineLevel="0" max="2" min="2" style="1" width="48"/>
    <col collapsed="false" customWidth="true" hidden="false" outlineLevel="0" max="3" min="3" style="1" width="34"/>
    <col collapsed="false" customWidth="true" hidden="false" outlineLevel="0" max="4" min="4" style="1" width="14"/>
    <col collapsed="false" customWidth="true" hidden="false" outlineLevel="0" max="5" min="5" style="1" width="16"/>
    <col collapsed="false" customWidth="true" hidden="false" outlineLevel="0" max="6" min="6" style="1" width="42"/>
    <col collapsed="false" customWidth="true" hidden="false" outlineLevel="0" max="7" min="7" style="1" width="32"/>
    <col collapsed="false" customWidth="true" hidden="false" outlineLevel="0" max="8" min="8" style="1" width="22"/>
  </cols>
  <sheetData>
    <row r="1" customFormat="false" ht="18.75" hidden="false" customHeight="true" outlineLevel="0" collapsed="false">
      <c r="A1" s="2" t="s">
        <v>868</v>
      </c>
    </row>
    <row r="2" customFormat="false" ht="27.75" hidden="false" customHeight="true" outlineLevel="0" collapsed="false">
      <c r="A2" s="16" t="s">
        <v>869</v>
      </c>
      <c r="B2" s="16"/>
      <c r="C2" s="16"/>
      <c r="D2" s="16"/>
      <c r="E2" s="16"/>
      <c r="F2" s="16"/>
      <c r="G2" s="16"/>
    </row>
    <row r="4" customFormat="false" ht="31.5" hidden="false" customHeight="true" outlineLevel="0" collapsed="false">
      <c r="A4" s="18" t="s">
        <v>184</v>
      </c>
      <c r="B4" s="18" t="s">
        <v>870</v>
      </c>
      <c r="C4" s="18" t="s">
        <v>186</v>
      </c>
      <c r="D4" s="18" t="s">
        <v>138</v>
      </c>
      <c r="E4" s="18" t="s">
        <v>8</v>
      </c>
      <c r="F4" s="18" t="s">
        <v>871</v>
      </c>
      <c r="G4" s="18" t="s">
        <v>872</v>
      </c>
      <c r="H4" s="18" t="s">
        <v>78</v>
      </c>
    </row>
    <row r="5" customFormat="false" ht="30" hidden="false" customHeight="true" outlineLevel="0" collapsed="false">
      <c r="A5" s="26" t="s">
        <v>873</v>
      </c>
      <c r="B5" s="7" t="s">
        <v>874</v>
      </c>
      <c r="C5" s="7" t="s">
        <v>875</v>
      </c>
      <c r="D5" s="19" t="s">
        <v>500</v>
      </c>
      <c r="E5" s="19" t="s">
        <v>216</v>
      </c>
      <c r="F5" s="7" t="s">
        <v>876</v>
      </c>
      <c r="G5" s="7" t="s">
        <v>877</v>
      </c>
      <c r="H5" s="39" t="s">
        <v>878</v>
      </c>
    </row>
    <row r="6" customFormat="false" ht="30" hidden="false" customHeight="true" outlineLevel="0" collapsed="false">
      <c r="A6" s="26" t="s">
        <v>879</v>
      </c>
      <c r="B6" s="7" t="s">
        <v>880</v>
      </c>
      <c r="C6" s="7" t="s">
        <v>881</v>
      </c>
      <c r="D6" s="19" t="s">
        <v>655</v>
      </c>
      <c r="E6" s="19" t="s">
        <v>216</v>
      </c>
      <c r="F6" s="7" t="s">
        <v>882</v>
      </c>
      <c r="G6" s="7" t="s">
        <v>883</v>
      </c>
      <c r="H6" s="39" t="s">
        <v>878</v>
      </c>
    </row>
    <row r="7" customFormat="false" ht="30" hidden="false" customHeight="true" outlineLevel="0" collapsed="false">
      <c r="A7" s="26" t="s">
        <v>884</v>
      </c>
      <c r="B7" s="7" t="s">
        <v>885</v>
      </c>
      <c r="C7" s="7" t="s">
        <v>881</v>
      </c>
      <c r="D7" s="19" t="s">
        <v>152</v>
      </c>
      <c r="E7" s="19" t="s">
        <v>255</v>
      </c>
      <c r="F7" s="7" t="s">
        <v>256</v>
      </c>
      <c r="G7" s="7" t="s">
        <v>886</v>
      </c>
      <c r="H7" s="39" t="s">
        <v>878</v>
      </c>
    </row>
    <row r="8" customFormat="false" ht="30" hidden="false" customHeight="true" outlineLevel="0" collapsed="false">
      <c r="A8" s="26" t="s">
        <v>887</v>
      </c>
      <c r="B8" s="7" t="s">
        <v>888</v>
      </c>
      <c r="C8" s="7" t="s">
        <v>889</v>
      </c>
      <c r="D8" s="19" t="s">
        <v>164</v>
      </c>
      <c r="E8" s="19" t="s">
        <v>261</v>
      </c>
      <c r="F8" s="7" t="s">
        <v>262</v>
      </c>
      <c r="G8" s="7" t="s">
        <v>890</v>
      </c>
      <c r="H8" s="39" t="s">
        <v>878</v>
      </c>
    </row>
    <row r="9" customFormat="false" ht="30" hidden="false" customHeight="true" outlineLevel="0" collapsed="false">
      <c r="A9" s="26" t="s">
        <v>891</v>
      </c>
      <c r="B9" s="7" t="s">
        <v>892</v>
      </c>
      <c r="C9" s="7" t="s">
        <v>893</v>
      </c>
      <c r="D9" s="19" t="s">
        <v>152</v>
      </c>
      <c r="E9" s="19" t="s">
        <v>272</v>
      </c>
      <c r="F9" s="7" t="s">
        <v>273</v>
      </c>
      <c r="G9" s="7" t="s">
        <v>894</v>
      </c>
      <c r="H9" s="39" t="s">
        <v>878</v>
      </c>
    </row>
    <row r="10" customFormat="false" ht="30" hidden="false" customHeight="true" outlineLevel="0" collapsed="false">
      <c r="A10" s="26" t="s">
        <v>895</v>
      </c>
      <c r="B10" s="7" t="s">
        <v>896</v>
      </c>
      <c r="C10" s="7" t="s">
        <v>897</v>
      </c>
      <c r="D10" s="19" t="s">
        <v>152</v>
      </c>
      <c r="E10" s="19" t="s">
        <v>898</v>
      </c>
      <c r="F10" s="7" t="s">
        <v>899</v>
      </c>
      <c r="G10" s="7" t="s">
        <v>900</v>
      </c>
      <c r="H10" s="39" t="s">
        <v>878</v>
      </c>
    </row>
    <row r="11" customFormat="false" ht="30" hidden="false" customHeight="true" outlineLevel="0" collapsed="false">
      <c r="A11" s="26" t="s">
        <v>901</v>
      </c>
      <c r="B11" s="7" t="s">
        <v>902</v>
      </c>
      <c r="C11" s="7" t="s">
        <v>903</v>
      </c>
      <c r="D11" s="19" t="s">
        <v>655</v>
      </c>
      <c r="E11" s="19" t="s">
        <v>278</v>
      </c>
      <c r="F11" s="7" t="s">
        <v>904</v>
      </c>
      <c r="G11" s="7" t="s">
        <v>905</v>
      </c>
      <c r="H11" s="39" t="s">
        <v>878</v>
      </c>
    </row>
    <row r="12" customFormat="false" ht="42" hidden="false" customHeight="true" outlineLevel="0" collapsed="false">
      <c r="A12" s="32" t="s">
        <v>906</v>
      </c>
      <c r="B12" s="24" t="s">
        <v>907</v>
      </c>
      <c r="C12" s="24" t="s">
        <v>908</v>
      </c>
      <c r="D12" s="33" t="s">
        <v>500</v>
      </c>
      <c r="E12" s="33" t="s">
        <v>157</v>
      </c>
      <c r="F12" s="24" t="s">
        <v>909</v>
      </c>
      <c r="G12" s="24" t="s">
        <v>910</v>
      </c>
      <c r="H12" s="39" t="s">
        <v>878</v>
      </c>
    </row>
    <row r="13" customFormat="false" ht="30" hidden="false" customHeight="true" outlineLevel="0" collapsed="false">
      <c r="A13" s="32" t="s">
        <v>911</v>
      </c>
      <c r="B13" s="24" t="s">
        <v>912</v>
      </c>
      <c r="C13" s="24" t="s">
        <v>913</v>
      </c>
      <c r="D13" s="33" t="s">
        <v>171</v>
      </c>
      <c r="E13" s="33" t="s">
        <v>170</v>
      </c>
      <c r="F13" s="24" t="s">
        <v>766</v>
      </c>
      <c r="G13" s="24" t="s">
        <v>914</v>
      </c>
      <c r="H13" s="39" t="s">
        <v>878</v>
      </c>
    </row>
    <row r="14" customFormat="false" ht="30" hidden="false" customHeight="true" outlineLevel="0" collapsed="false">
      <c r="A14" s="32" t="s">
        <v>915</v>
      </c>
      <c r="B14" s="24" t="s">
        <v>916</v>
      </c>
      <c r="C14" s="24" t="s">
        <v>917</v>
      </c>
      <c r="D14" s="33" t="s">
        <v>177</v>
      </c>
      <c r="E14" s="33" t="s">
        <v>832</v>
      </c>
      <c r="F14" s="24" t="s">
        <v>918</v>
      </c>
      <c r="G14" s="24" t="s">
        <v>919</v>
      </c>
      <c r="H14" s="39" t="s">
        <v>878</v>
      </c>
    </row>
    <row r="15" customFormat="false" ht="42" hidden="false" customHeight="true" outlineLevel="0" collapsed="false">
      <c r="A15" s="32" t="s">
        <v>920</v>
      </c>
      <c r="B15" s="24" t="s">
        <v>921</v>
      </c>
      <c r="C15" s="24" t="s">
        <v>922</v>
      </c>
      <c r="D15" s="33" t="s">
        <v>152</v>
      </c>
      <c r="E15" s="33" t="s">
        <v>923</v>
      </c>
      <c r="F15" s="24" t="s">
        <v>924</v>
      </c>
      <c r="G15" s="24" t="s">
        <v>925</v>
      </c>
      <c r="H15" s="39" t="s">
        <v>878</v>
      </c>
    </row>
    <row r="16" customFormat="false" ht="42" hidden="false" customHeight="true" outlineLevel="0" collapsed="false">
      <c r="A16" s="32" t="s">
        <v>926</v>
      </c>
      <c r="B16" s="24" t="s">
        <v>927</v>
      </c>
      <c r="C16" s="24" t="s">
        <v>928</v>
      </c>
      <c r="D16" s="33" t="s">
        <v>372</v>
      </c>
      <c r="E16" s="33" t="s">
        <v>144</v>
      </c>
      <c r="F16" s="24" t="s">
        <v>929</v>
      </c>
      <c r="G16" s="24" t="s">
        <v>930</v>
      </c>
      <c r="H16" s="39" t="s">
        <v>878</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G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12" activePane="bottomLeft" state="frozen"/>
      <selection pane="topLeft" activeCell="A1" activeCellId="0" sqref="A1"/>
      <selection pane="bottomLeft" activeCell="C17" activeCellId="0" sqref="C17"/>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24"/>
    <col collapsed="false" customWidth="true" hidden="false" outlineLevel="0" max="5" min="4" style="1" width="54"/>
    <col collapsed="false" customWidth="true" hidden="false" outlineLevel="0" max="6" min="6" style="1" width="60"/>
    <col collapsed="false" customWidth="true" hidden="false" outlineLevel="0" max="7" min="7" style="1" width="54"/>
  </cols>
  <sheetData>
    <row r="1" customFormat="false" ht="18.75" hidden="false" customHeight="true" outlineLevel="0" collapsed="false">
      <c r="A1" s="2" t="s">
        <v>931</v>
      </c>
    </row>
    <row r="2" customFormat="false" ht="27.75" hidden="false" customHeight="true" outlineLevel="0" collapsed="false">
      <c r="A2" s="16" t="s">
        <v>932</v>
      </c>
      <c r="B2" s="16"/>
      <c r="C2" s="16"/>
      <c r="D2" s="16"/>
      <c r="E2" s="16"/>
      <c r="F2" s="16"/>
      <c r="G2" s="16"/>
    </row>
    <row r="4" customFormat="false" ht="31.5" hidden="false" customHeight="true" outlineLevel="0" collapsed="false">
      <c r="A4" s="18" t="s">
        <v>184</v>
      </c>
      <c r="B4" s="18" t="s">
        <v>933</v>
      </c>
      <c r="C4" s="18" t="s">
        <v>342</v>
      </c>
      <c r="D4" s="18" t="s">
        <v>934</v>
      </c>
      <c r="E4" s="18" t="s">
        <v>935</v>
      </c>
      <c r="F4" s="18" t="s">
        <v>936</v>
      </c>
      <c r="G4" s="18" t="s">
        <v>937</v>
      </c>
    </row>
    <row r="5" customFormat="false" ht="67.5" hidden="false" customHeight="true" outlineLevel="0" collapsed="false">
      <c r="A5" s="26" t="s">
        <v>938</v>
      </c>
      <c r="B5" s="6" t="s">
        <v>939</v>
      </c>
      <c r="C5" s="19" t="s">
        <v>940</v>
      </c>
      <c r="D5" s="7" t="s">
        <v>941</v>
      </c>
      <c r="E5" s="7" t="s">
        <v>942</v>
      </c>
      <c r="F5" s="7" t="s">
        <v>943</v>
      </c>
      <c r="G5" s="7" t="s">
        <v>944</v>
      </c>
    </row>
    <row r="6" customFormat="false" ht="54.75" hidden="false" customHeight="true" outlineLevel="0" collapsed="false">
      <c r="A6" s="26" t="s">
        <v>945</v>
      </c>
      <c r="B6" s="6" t="s">
        <v>946</v>
      </c>
      <c r="C6" s="19" t="s">
        <v>940</v>
      </c>
      <c r="D6" s="7" t="s">
        <v>947</v>
      </c>
      <c r="E6" s="7" t="s">
        <v>948</v>
      </c>
      <c r="F6" s="7" t="s">
        <v>949</v>
      </c>
      <c r="G6" s="7" t="s">
        <v>950</v>
      </c>
    </row>
    <row r="7" customFormat="false" ht="67.5" hidden="false" customHeight="true" outlineLevel="0" collapsed="false">
      <c r="A7" s="32" t="s">
        <v>951</v>
      </c>
      <c r="B7" s="34" t="s">
        <v>952</v>
      </c>
      <c r="C7" s="33" t="s">
        <v>953</v>
      </c>
      <c r="D7" s="24" t="s">
        <v>954</v>
      </c>
      <c r="E7" s="24" t="s">
        <v>955</v>
      </c>
      <c r="F7" s="24" t="s">
        <v>956</v>
      </c>
      <c r="G7" s="24" t="s">
        <v>957</v>
      </c>
    </row>
    <row r="8" customFormat="false" ht="54.75" hidden="false" customHeight="true" outlineLevel="0" collapsed="false">
      <c r="A8" s="32" t="s">
        <v>958</v>
      </c>
      <c r="B8" s="34" t="s">
        <v>959</v>
      </c>
      <c r="C8" s="33" t="s">
        <v>953</v>
      </c>
      <c r="D8" s="24" t="s">
        <v>960</v>
      </c>
      <c r="E8" s="24" t="s">
        <v>961</v>
      </c>
      <c r="F8" s="24" t="s">
        <v>962</v>
      </c>
      <c r="G8" s="24" t="s">
        <v>963</v>
      </c>
    </row>
    <row r="9" customFormat="false" ht="105" hidden="false" customHeight="true" outlineLevel="0" collapsed="false">
      <c r="A9" s="32" t="s">
        <v>964</v>
      </c>
      <c r="B9" s="34" t="s">
        <v>965</v>
      </c>
      <c r="C9" s="33" t="s">
        <v>966</v>
      </c>
      <c r="D9" s="24" t="s">
        <v>967</v>
      </c>
      <c r="E9" s="24" t="s">
        <v>968</v>
      </c>
      <c r="F9" s="24" t="s">
        <v>969</v>
      </c>
      <c r="G9" s="24" t="s">
        <v>970</v>
      </c>
    </row>
    <row r="10" customFormat="false" ht="255" hidden="false" customHeight="true" outlineLevel="0" collapsed="false">
      <c r="A10" s="32" t="s">
        <v>971</v>
      </c>
      <c r="B10" s="34" t="s">
        <v>972</v>
      </c>
      <c r="C10" s="33" t="s">
        <v>966</v>
      </c>
      <c r="D10" s="24" t="s">
        <v>973</v>
      </c>
      <c r="E10" s="24" t="s">
        <v>974</v>
      </c>
      <c r="F10" s="24" t="s">
        <v>975</v>
      </c>
      <c r="G10" s="24" t="s">
        <v>976</v>
      </c>
    </row>
    <row r="11" customFormat="false" ht="154.5" hidden="false" customHeight="true" outlineLevel="0" collapsed="false">
      <c r="A11" s="32" t="s">
        <v>977</v>
      </c>
      <c r="B11" s="34" t="s">
        <v>978</v>
      </c>
      <c r="C11" s="33" t="s">
        <v>966</v>
      </c>
      <c r="D11" s="24" t="s">
        <v>979</v>
      </c>
      <c r="E11" s="24" t="s">
        <v>980</v>
      </c>
      <c r="F11" s="24" t="s">
        <v>981</v>
      </c>
      <c r="G11" s="24" t="s">
        <v>982</v>
      </c>
    </row>
    <row r="12" customFormat="false" ht="144.75" hidden="false" customHeight="true" outlineLevel="0" collapsed="false">
      <c r="A12" s="10" t="s">
        <v>983</v>
      </c>
      <c r="B12" s="11" t="s">
        <v>984</v>
      </c>
      <c r="C12" s="40" t="s">
        <v>985</v>
      </c>
      <c r="D12" s="11" t="s">
        <v>986</v>
      </c>
      <c r="E12" s="11" t="s">
        <v>987</v>
      </c>
      <c r="F12" s="11" t="s">
        <v>988</v>
      </c>
      <c r="G12" s="11" t="s">
        <v>989</v>
      </c>
    </row>
    <row r="13" customFormat="false" ht="113.25" hidden="false" customHeight="true" outlineLevel="0" collapsed="false">
      <c r="A13" s="24" t="s">
        <v>990</v>
      </c>
      <c r="B13" s="24" t="s">
        <v>991</v>
      </c>
      <c r="C13" s="24" t="s">
        <v>992</v>
      </c>
      <c r="D13" s="24" t="s">
        <v>993</v>
      </c>
      <c r="E13" s="24" t="s">
        <v>994</v>
      </c>
      <c r="F13" s="24" t="s">
        <v>995</v>
      </c>
      <c r="G13" s="24" t="s">
        <v>996</v>
      </c>
    </row>
    <row r="14" customFormat="false" ht="150" hidden="false" customHeight="true" outlineLevel="0" collapsed="false">
      <c r="A14" s="10" t="s">
        <v>997</v>
      </c>
      <c r="B14" s="11" t="s">
        <v>998</v>
      </c>
      <c r="C14" s="40" t="s">
        <v>985</v>
      </c>
      <c r="D14" s="11" t="s">
        <v>999</v>
      </c>
      <c r="E14" s="11" t="s">
        <v>1000</v>
      </c>
      <c r="F14" s="11" t="s">
        <v>1001</v>
      </c>
      <c r="G14" s="11" t="s">
        <v>1002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76"/>
    <col collapsed="false" customWidth="true" hidden="false" outlineLevel="0" max="4" min="4" style="1" width="54"/>
    <col collapsed="false" customWidth="true" hidden="false" outlineLevel="0" max="5" min="5" style="1" width="20"/>
  </cols>
  <sheetData>
    <row r="1" customFormat="false" ht="18.75" hidden="false" customHeight="true" outlineLevel="0" collapsed="false">
      <c r="A1" s="2" t="s">
        <v>1003</v>
      </c>
    </row>
    <row r="2" customFormat="false" ht="27.75" hidden="false" customHeight="true" outlineLevel="0" collapsed="false">
      <c r="A2" s="16" t="s">
        <v>1004</v>
      </c>
      <c r="B2" s="16"/>
      <c r="C2" s="16"/>
      <c r="D2" s="16"/>
    </row>
    <row r="4" customFormat="false" ht="30" hidden="false" customHeight="true" outlineLevel="0" collapsed="false">
      <c r="A4" s="18" t="s">
        <v>1005</v>
      </c>
      <c r="B4" s="18" t="s">
        <v>776</v>
      </c>
      <c r="C4" s="18" t="s">
        <v>1006</v>
      </c>
      <c r="D4" s="18" t="s">
        <v>1007</v>
      </c>
      <c r="E4" s="18" t="s">
        <v>186</v>
      </c>
    </row>
    <row r="5" customFormat="false" ht="54.75" hidden="false" customHeight="true" outlineLevel="0" collapsed="false">
      <c r="A5" s="34" t="s">
        <v>1008</v>
      </c>
      <c r="B5" s="33" t="s">
        <v>1009</v>
      </c>
      <c r="C5" s="24" t="s">
        <v>1010</v>
      </c>
      <c r="D5" s="24" t="s">
        <v>1011</v>
      </c>
      <c r="E5" s="24" t="s">
        <v>1012</v>
      </c>
    </row>
    <row r="6" customFormat="false" ht="30" hidden="false" customHeight="true" outlineLevel="0" collapsed="false">
      <c r="A6" s="6" t="s">
        <v>1013</v>
      </c>
      <c r="B6" s="19" t="s">
        <v>1009</v>
      </c>
      <c r="C6" s="7" t="s">
        <v>1014</v>
      </c>
      <c r="D6" s="7" t="s">
        <v>1015</v>
      </c>
      <c r="E6" s="7" t="s">
        <v>1016</v>
      </c>
    </row>
    <row r="7" customFormat="false" ht="30" hidden="false" customHeight="true" outlineLevel="0" collapsed="false">
      <c r="A7" s="34" t="s">
        <v>1017</v>
      </c>
      <c r="B7" s="33" t="s">
        <v>1009</v>
      </c>
      <c r="C7" s="24" t="s">
        <v>1018</v>
      </c>
      <c r="D7" s="24" t="s">
        <v>1019</v>
      </c>
      <c r="E7" s="24" t="s">
        <v>1016</v>
      </c>
    </row>
    <row r="8" customFormat="false" ht="30" hidden="false" customHeight="true" outlineLevel="0" collapsed="false">
      <c r="A8" s="6" t="s">
        <v>1020</v>
      </c>
      <c r="B8" s="19" t="s">
        <v>1009</v>
      </c>
      <c r="C8" s="7" t="s">
        <v>1021</v>
      </c>
      <c r="D8" s="7" t="s">
        <v>1022</v>
      </c>
      <c r="E8" s="7" t="s">
        <v>1016</v>
      </c>
    </row>
    <row r="9" customFormat="false" ht="30" hidden="false" customHeight="true" outlineLevel="0" collapsed="false">
      <c r="A9" s="6" t="s">
        <v>1023</v>
      </c>
      <c r="B9" s="19" t="s">
        <v>1009</v>
      </c>
      <c r="C9" s="7" t="s">
        <v>1024</v>
      </c>
      <c r="D9" s="7" t="s">
        <v>1025</v>
      </c>
      <c r="E9" s="7" t="s">
        <v>1016</v>
      </c>
    </row>
    <row r="10" customFormat="false" ht="30" hidden="false" customHeight="true" outlineLevel="0" collapsed="false">
      <c r="A10" s="34" t="s">
        <v>1026</v>
      </c>
      <c r="B10" s="33" t="s">
        <v>1009</v>
      </c>
      <c r="C10" s="24" t="s">
        <v>1027</v>
      </c>
      <c r="D10" s="24" t="s">
        <v>1028</v>
      </c>
      <c r="E10" s="24" t="s">
        <v>1016</v>
      </c>
    </row>
    <row r="11" customFormat="false" ht="30" hidden="false" customHeight="true" outlineLevel="0" collapsed="false">
      <c r="A11" s="34" t="s">
        <v>1029</v>
      </c>
      <c r="B11" s="33" t="s">
        <v>1030</v>
      </c>
      <c r="C11" s="24" t="s">
        <v>1031</v>
      </c>
      <c r="D11" s="24" t="s">
        <v>1032</v>
      </c>
      <c r="E11" s="24" t="s">
        <v>1033</v>
      </c>
    </row>
    <row r="12" customFormat="false" ht="54.75" hidden="false" customHeight="true" outlineLevel="0" collapsed="false">
      <c r="A12" s="6" t="s">
        <v>1034</v>
      </c>
      <c r="B12" s="19" t="s">
        <v>1009</v>
      </c>
      <c r="C12" s="7" t="s">
        <v>1035</v>
      </c>
      <c r="D12" s="7" t="s">
        <v>1028</v>
      </c>
      <c r="E12" s="7" t="s">
        <v>1036</v>
      </c>
    </row>
    <row r="13" customFormat="false" ht="30" hidden="false" customHeight="true" outlineLevel="0" collapsed="false">
      <c r="A13" s="6" t="s">
        <v>1037</v>
      </c>
      <c r="B13" s="19" t="s">
        <v>1009</v>
      </c>
      <c r="C13" s="7" t="s">
        <v>1038</v>
      </c>
      <c r="D13" s="7" t="s">
        <v>1039</v>
      </c>
      <c r="E13" s="7" t="s">
        <v>1036</v>
      </c>
    </row>
    <row r="14" customFormat="false" ht="30" hidden="false" customHeight="true" outlineLevel="0" collapsed="false">
      <c r="A14" s="6" t="s">
        <v>1040</v>
      </c>
      <c r="B14" s="19" t="s">
        <v>1009</v>
      </c>
      <c r="C14" s="7" t="s">
        <v>1041</v>
      </c>
      <c r="D14" s="7" t="s">
        <v>1042</v>
      </c>
      <c r="E14" s="7" t="s">
        <v>1036</v>
      </c>
    </row>
    <row r="15" customFormat="false" ht="30" hidden="false" customHeight="true" outlineLevel="0" collapsed="false">
      <c r="A15" s="6" t="s">
        <v>1043</v>
      </c>
      <c r="B15" s="19" t="s">
        <v>1009</v>
      </c>
      <c r="C15" s="7" t="s">
        <v>1044</v>
      </c>
      <c r="D15" s="7" t="s">
        <v>1045</v>
      </c>
      <c r="E15" s="7" t="s">
        <v>1036</v>
      </c>
    </row>
    <row r="16" customFormat="false" ht="42" hidden="false" customHeight="true" outlineLevel="0" collapsed="false">
      <c r="A16" s="6" t="s">
        <v>1046</v>
      </c>
      <c r="B16" s="19" t="s">
        <v>1009</v>
      </c>
      <c r="C16" s="7" t="s">
        <v>1047</v>
      </c>
      <c r="D16" s="7" t="s">
        <v>1048</v>
      </c>
      <c r="E16" s="7" t="s">
        <v>1036</v>
      </c>
    </row>
    <row r="17" customFormat="false" ht="30" hidden="false" customHeight="true" outlineLevel="0" collapsed="false"/>
    <row r="18" customFormat="false" ht="18" hidden="false" customHeight="true" outlineLevel="0" collapsed="false">
      <c r="A18" s="17" t="s">
        <v>1049</v>
      </c>
    </row>
    <row r="19" customFormat="false" ht="30" hidden="false" customHeight="true" outlineLevel="0" collapsed="false"/>
    <row r="20" customFormat="false" ht="78.75" hidden="false" customHeight="true" outlineLevel="0" collapsed="false">
      <c r="A20" s="23" t="s">
        <v>1050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E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0"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4" min="3" style="1" width="60"/>
    <col collapsed="false" customWidth="true" hidden="false" outlineLevel="0" max="5" min="5" style="1" width="44"/>
  </cols>
  <sheetData>
    <row r="1" customFormat="false" ht="18.75" hidden="false" customHeight="true" outlineLevel="0" collapsed="false">
      <c r="A1" s="2" t="s">
        <v>1051</v>
      </c>
    </row>
    <row r="2" customFormat="false" ht="27.75" hidden="false" customHeight="true" outlineLevel="0" collapsed="false">
      <c r="A2" s="3" t="s">
        <v>1052</v>
      </c>
    </row>
    <row r="4" customFormat="false" ht="30" hidden="false" customHeight="true" outlineLevel="0" collapsed="false">
      <c r="A4" s="18" t="s">
        <v>850</v>
      </c>
      <c r="B4" s="18" t="s">
        <v>1053</v>
      </c>
      <c r="C4" s="18" t="s">
        <v>1054</v>
      </c>
      <c r="D4" s="18" t="s">
        <v>1055</v>
      </c>
      <c r="E4" s="18" t="s">
        <v>1056</v>
      </c>
    </row>
    <row r="5" customFormat="false" ht="42" hidden="false" customHeight="true" outlineLevel="0" collapsed="false">
      <c r="A5" s="26" t="s">
        <v>1057</v>
      </c>
      <c r="B5" s="6" t="s">
        <v>1058</v>
      </c>
      <c r="C5" s="7" t="s">
        <v>1059</v>
      </c>
      <c r="D5" s="7" t="s">
        <v>1060</v>
      </c>
      <c r="E5" s="7" t="s">
        <v>1061</v>
      </c>
    </row>
    <row r="6" customFormat="false" ht="54.75" hidden="false" customHeight="true" outlineLevel="0" collapsed="false">
      <c r="A6" s="26" t="s">
        <v>1062</v>
      </c>
      <c r="B6" s="6" t="s">
        <v>48</v>
      </c>
      <c r="C6" s="7" t="s">
        <v>1063</v>
      </c>
      <c r="D6" s="7" t="s">
        <v>1064</v>
      </c>
      <c r="E6" s="7" t="s">
        <v>1065</v>
      </c>
    </row>
    <row r="7" customFormat="false" ht="42" hidden="false" customHeight="true" outlineLevel="0" collapsed="false">
      <c r="A7" s="26" t="s">
        <v>1066</v>
      </c>
      <c r="B7" s="6" t="s">
        <v>1067</v>
      </c>
      <c r="C7" s="7" t="s">
        <v>1068</v>
      </c>
      <c r="D7" s="7" t="s">
        <v>1069</v>
      </c>
      <c r="E7" s="7" t="s">
        <v>1070</v>
      </c>
    </row>
    <row r="8" customFormat="false" ht="54.75" hidden="false" customHeight="true" outlineLevel="0" collapsed="false">
      <c r="A8" s="26" t="s">
        <v>1071</v>
      </c>
      <c r="B8" s="6" t="s">
        <v>1072</v>
      </c>
      <c r="C8" s="7" t="s">
        <v>1073</v>
      </c>
      <c r="D8" s="7" t="s">
        <v>1074</v>
      </c>
      <c r="E8" s="7" t="s">
        <v>1075</v>
      </c>
    </row>
    <row r="9" customFormat="false" ht="54.75" hidden="false" customHeight="true" outlineLevel="0" collapsed="false">
      <c r="A9" s="26" t="s">
        <v>1076</v>
      </c>
      <c r="B9" s="6" t="s">
        <v>1077</v>
      </c>
      <c r="C9" s="7" t="s">
        <v>1078</v>
      </c>
      <c r="D9" s="7" t="s">
        <v>1079</v>
      </c>
      <c r="E9" s="7" t="s">
        <v>1080</v>
      </c>
    </row>
    <row r="10" customFormat="false" ht="42" hidden="false" customHeight="true" outlineLevel="0" collapsed="false">
      <c r="A10" s="26" t="s">
        <v>1081</v>
      </c>
      <c r="B10" s="6" t="s">
        <v>1082</v>
      </c>
      <c r="C10" s="7" t="s">
        <v>1083</v>
      </c>
      <c r="D10" s="7" t="s">
        <v>1084</v>
      </c>
      <c r="E10" s="7" t="s">
        <v>1085</v>
      </c>
    </row>
    <row r="11" customFormat="false" ht="42" hidden="false" customHeight="true" outlineLevel="0" collapsed="false">
      <c r="A11" s="26" t="s">
        <v>1086</v>
      </c>
      <c r="B11" s="6" t="s">
        <v>1087</v>
      </c>
      <c r="C11" s="7" t="s">
        <v>1088</v>
      </c>
      <c r="D11" s="7" t="s">
        <v>1089</v>
      </c>
      <c r="E11" s="7" t="s">
        <v>18</v>
      </c>
    </row>
    <row r="12" customFormat="false" ht="30" hidden="false" customHeight="true" outlineLevel="0" collapsed="false">
      <c r="A12" s="26" t="s">
        <v>1090</v>
      </c>
      <c r="B12" s="6" t="s">
        <v>1091</v>
      </c>
      <c r="C12" s="7" t="s">
        <v>1092</v>
      </c>
      <c r="D12" s="7" t="s">
        <v>1093</v>
      </c>
      <c r="E12" s="7" t="s">
        <v>1094</v>
      </c>
    </row>
    <row r="13" customFormat="false" ht="42" hidden="false" customHeight="true" outlineLevel="0" collapsed="false">
      <c r="A13" s="26" t="s">
        <v>1095</v>
      </c>
      <c r="B13" s="6" t="s">
        <v>1096</v>
      </c>
      <c r="C13" s="7" t="s">
        <v>1097</v>
      </c>
      <c r="D13" s="7" t="s">
        <v>1098</v>
      </c>
      <c r="E13" s="7" t="s">
        <v>1099</v>
      </c>
    </row>
    <row r="14" customFormat="false" ht="42" hidden="false" customHeight="true" outlineLevel="0" collapsed="false">
      <c r="A14" s="26" t="s">
        <v>1100</v>
      </c>
      <c r="B14" s="6" t="s">
        <v>1101</v>
      </c>
      <c r="C14" s="7" t="s">
        <v>1102</v>
      </c>
      <c r="D14" s="7" t="s">
        <v>1103</v>
      </c>
      <c r="E14" s="7" t="s">
        <v>1104</v>
      </c>
    </row>
    <row r="15" customFormat="false" ht="42" hidden="false" customHeight="true" outlineLevel="0" collapsed="false">
      <c r="A15" s="26" t="s">
        <v>1105</v>
      </c>
      <c r="B15" s="6" t="s">
        <v>1106</v>
      </c>
      <c r="C15" s="7" t="s">
        <v>1107</v>
      </c>
      <c r="D15" s="7" t="s">
        <v>1108</v>
      </c>
      <c r="E15" s="7" t="s">
        <v>1109</v>
      </c>
    </row>
    <row r="16" customFormat="false" ht="54.75" hidden="false" customHeight="true" outlineLevel="0" collapsed="false">
      <c r="A16" s="26" t="s">
        <v>1110</v>
      </c>
      <c r="B16" s="6" t="s">
        <v>1111</v>
      </c>
      <c r="C16" s="7" t="s">
        <v>1112</v>
      </c>
      <c r="D16" s="7" t="s">
        <v>1113</v>
      </c>
      <c r="E16" s="7" t="s">
        <v>1114</v>
      </c>
    </row>
    <row r="19" customFormat="false" ht="19.5" hidden="false" customHeight="true" outlineLevel="0" collapsed="false">
      <c r="A19" s="41" t="s">
        <v>1115</v>
      </c>
      <c r="B19" s="5"/>
      <c r="C19" s="5"/>
      <c r="D19" s="5"/>
      <c r="E19" s="5"/>
    </row>
    <row r="20" customFormat="false" ht="30" hidden="false" customHeight="true" outlineLevel="0" collapsed="false">
      <c r="A20" s="18" t="s">
        <v>850</v>
      </c>
      <c r="B20" s="18" t="s">
        <v>1116</v>
      </c>
      <c r="C20" s="18" t="s">
        <v>1117</v>
      </c>
      <c r="D20" s="18" t="s">
        <v>1118</v>
      </c>
      <c r="E20" s="18" t="s">
        <v>1119</v>
      </c>
    </row>
    <row r="21" customFormat="false" ht="42" hidden="false" customHeight="true" outlineLevel="0" collapsed="false">
      <c r="A21" s="42" t="s">
        <v>1057</v>
      </c>
      <c r="B21" s="14" t="s">
        <v>1120</v>
      </c>
      <c r="C21" s="15" t="s">
        <v>1121</v>
      </c>
      <c r="D21" s="15" t="s">
        <v>1122</v>
      </c>
      <c r="E21" s="15" t="s">
        <v>1123</v>
      </c>
    </row>
    <row r="22" customFormat="false" ht="42" hidden="false" customHeight="true" outlineLevel="0" collapsed="false">
      <c r="A22" s="42" t="s">
        <v>1062</v>
      </c>
      <c r="B22" s="14" t="s">
        <v>1124</v>
      </c>
      <c r="C22" s="15" t="s">
        <v>1121</v>
      </c>
      <c r="D22" s="15" t="s">
        <v>1122</v>
      </c>
      <c r="E22" s="15" t="s">
        <v>1125</v>
      </c>
    </row>
    <row r="23" customFormat="false" ht="67.5" hidden="false" customHeight="true" outlineLevel="0" collapsed="false">
      <c r="A23" s="42" t="s">
        <v>1066</v>
      </c>
      <c r="B23" s="14" t="s">
        <v>1126</v>
      </c>
      <c r="C23" s="15" t="s">
        <v>1127</v>
      </c>
      <c r="D23" s="15" t="s">
        <v>1128</v>
      </c>
      <c r="E23" s="15" t="s">
        <v>1129</v>
      </c>
    </row>
    <row r="24" customFormat="false" ht="54.75" hidden="false" customHeight="true" outlineLevel="0" collapsed="false">
      <c r="A24" s="42" t="s">
        <v>1071</v>
      </c>
      <c r="B24" s="14" t="s">
        <v>1126</v>
      </c>
      <c r="C24" s="15" t="s">
        <v>1130</v>
      </c>
      <c r="D24" s="15" t="s">
        <v>1131</v>
      </c>
      <c r="E24" s="15" t="s">
        <v>1132</v>
      </c>
    </row>
    <row r="25" customFormat="false" ht="30" hidden="false" customHeight="true" outlineLevel="0" collapsed="false">
      <c r="A25" s="42" t="s">
        <v>1076</v>
      </c>
      <c r="B25" s="14" t="s">
        <v>1133</v>
      </c>
      <c r="C25" s="15" t="s">
        <v>1134</v>
      </c>
      <c r="D25" s="15" t="s">
        <v>1135</v>
      </c>
      <c r="E25" s="15" t="s">
        <v>1136</v>
      </c>
    </row>
    <row r="26" customFormat="false" ht="67.5" hidden="false" customHeight="true" outlineLevel="0" collapsed="false">
      <c r="A26" s="32" t="s">
        <v>1137</v>
      </c>
      <c r="B26" s="34" t="s">
        <v>1138</v>
      </c>
      <c r="C26" s="24" t="s">
        <v>1139</v>
      </c>
      <c r="D26" s="24" t="s">
        <v>1140</v>
      </c>
      <c r="E26" s="24" t="s">
        <v>1141</v>
      </c>
    </row>
    <row r="29" customFormat="false" ht="17.25" hidden="false" customHeight="true" outlineLevel="0" collapsed="false">
      <c r="A29" s="22" t="s">
        <v>1142</v>
      </c>
    </row>
    <row r="30" customFormat="false" ht="409.5" hidden="false" customHeight="true" outlineLevel="0" collapsed="false">
      <c r="A30" s="23" t="s">
        <v>1143</v>
      </c>
    </row>
    <row r="32" customFormat="false" ht="14.25" hidden="false" customHeight="true" outlineLevel="0" collapsed="false">
      <c r="A32" s="4" t="s">
        <v>850</v>
      </c>
      <c r="B32" s="4" t="s">
        <v>1053</v>
      </c>
      <c r="C32" s="4" t="s">
        <v>1144</v>
      </c>
      <c r="D32" s="4" t="s">
        <v>1145</v>
      </c>
      <c r="E32" s="4" t="s">
        <v>1056</v>
      </c>
    </row>
    <row r="33" customFormat="false" ht="52.5" hidden="false" customHeight="true" outlineLevel="0" collapsed="false">
      <c r="A33" s="24" t="s">
        <v>1057</v>
      </c>
      <c r="B33" s="24" t="s">
        <v>1146</v>
      </c>
      <c r="C33" s="24" t="s">
        <v>1147</v>
      </c>
      <c r="D33" s="24" t="s">
        <v>1148</v>
      </c>
      <c r="E33" s="24" t="s">
        <v>1149</v>
      </c>
    </row>
    <row r="34" customFormat="false" ht="52.5" hidden="false" customHeight="true" outlineLevel="0" collapsed="false">
      <c r="A34" s="24" t="s">
        <v>1062</v>
      </c>
      <c r="B34" s="24" t="s">
        <v>1150</v>
      </c>
      <c r="C34" s="24" t="s">
        <v>1151</v>
      </c>
      <c r="D34" s="24" t="s">
        <v>1152</v>
      </c>
      <c r="E34" s="24" t="s">
        <v>1153</v>
      </c>
    </row>
    <row r="35" customFormat="false" ht="52.5" hidden="false" customHeight="true" outlineLevel="0" collapsed="false">
      <c r="A35" s="24" t="s">
        <v>1066</v>
      </c>
      <c r="B35" s="24" t="s">
        <v>1154</v>
      </c>
      <c r="C35" s="24" t="s">
        <v>1155</v>
      </c>
      <c r="D35" s="24" t="s">
        <v>1156</v>
      </c>
      <c r="E35" s="24" t="s">
        <v>1157</v>
      </c>
    </row>
    <row r="36" customFormat="false" ht="52.5" hidden="false" customHeight="true" outlineLevel="0" collapsed="false">
      <c r="A36" s="24" t="s">
        <v>1071</v>
      </c>
      <c r="B36" s="24" t="s">
        <v>1158</v>
      </c>
      <c r="C36" s="24" t="s">
        <v>1159</v>
      </c>
      <c r="D36" s="24" t="s">
        <v>1160</v>
      </c>
      <c r="E36" s="24" t="s">
        <v>1161</v>
      </c>
    </row>
    <row r="37" customFormat="false" ht="26.25" hidden="false" customHeight="true" outlineLevel="0" collapsed="false">
      <c r="A37" s="24" t="s">
        <v>1076</v>
      </c>
      <c r="B37" s="24" t="s">
        <v>1162</v>
      </c>
      <c r="C37" s="24" t="s">
        <v>1163</v>
      </c>
      <c r="D37" s="24" t="s">
        <v>1164</v>
      </c>
      <c r="E37" s="24" t="s">
        <v>1165</v>
      </c>
    </row>
    <row r="38" customFormat="false" ht="26.25" hidden="false" customHeight="true" outlineLevel="0" collapsed="false">
      <c r="A38" s="24" t="s">
        <v>1081</v>
      </c>
      <c r="B38" s="24" t="s">
        <v>1166</v>
      </c>
      <c r="C38" s="24" t="s">
        <v>1167</v>
      </c>
      <c r="D38" s="24" t="s">
        <v>1168</v>
      </c>
      <c r="E38" s="24" t="s">
        <v>1169</v>
      </c>
    </row>
    <row r="39" customFormat="false" ht="39" hidden="false" customHeight="true" outlineLevel="0" collapsed="false">
      <c r="A39" s="24" t="s">
        <v>1086</v>
      </c>
      <c r="B39" s="24" t="s">
        <v>1170</v>
      </c>
      <c r="C39" s="24" t="s">
        <v>1171</v>
      </c>
      <c r="D39" s="24" t="s">
        <v>1172</v>
      </c>
      <c r="E39" s="24" t="s">
        <v>1173</v>
      </c>
    </row>
    <row r="40" customFormat="false" ht="39" hidden="false" customHeight="true" outlineLevel="0" collapsed="false">
      <c r="A40" s="24" t="s">
        <v>1090</v>
      </c>
      <c r="B40" s="24" t="s">
        <v>1174</v>
      </c>
      <c r="C40" s="24" t="s">
        <v>1175</v>
      </c>
      <c r="D40" s="24" t="s">
        <v>1176</v>
      </c>
      <c r="E40" s="24" t="s">
        <v>20</v>
      </c>
    </row>
    <row r="41" customFormat="false" ht="39" hidden="false" customHeight="true" outlineLevel="0" collapsed="false">
      <c r="A41" s="24" t="s">
        <v>1095</v>
      </c>
      <c r="B41" s="24" t="s">
        <v>1177</v>
      </c>
      <c r="C41" s="24" t="s">
        <v>1178</v>
      </c>
      <c r="D41" s="24" t="s">
        <v>1179</v>
      </c>
      <c r="E41" s="24" t="s">
        <v>1180</v>
      </c>
    </row>
    <row r="43" customFormat="false" ht="17.25" hidden="false" customHeight="true" outlineLevel="0" collapsed="false">
      <c r="A43" s="22" t="s">
        <v>1181</v>
      </c>
    </row>
    <row r="44" customFormat="false" ht="14.25" hidden="false" customHeight="true" outlineLevel="0" collapsed="false">
      <c r="A44" s="4" t="s">
        <v>850</v>
      </c>
      <c r="B44" s="4" t="s">
        <v>1116</v>
      </c>
      <c r="C44" s="4" t="s">
        <v>1182</v>
      </c>
      <c r="D44" s="4" t="s">
        <v>1183</v>
      </c>
      <c r="E44" s="4" t="s">
        <v>1119</v>
      </c>
    </row>
    <row r="45" customFormat="false" ht="78.75" hidden="false" customHeight="true" outlineLevel="0" collapsed="false">
      <c r="A45" s="7" t="s">
        <v>1057</v>
      </c>
      <c r="B45" s="7" t="s">
        <v>1184</v>
      </c>
      <c r="C45" s="7" t="s">
        <v>1185</v>
      </c>
      <c r="D45" s="7" t="s">
        <v>1186</v>
      </c>
      <c r="E45" s="7" t="s">
        <v>1187</v>
      </c>
    </row>
    <row r="46" customFormat="false" ht="26.25" hidden="false" customHeight="true" outlineLevel="0" collapsed="false">
      <c r="A46" s="7" t="s">
        <v>1062</v>
      </c>
      <c r="B46" s="7" t="s">
        <v>1188</v>
      </c>
      <c r="C46" s="7" t="s">
        <v>1189</v>
      </c>
      <c r="D46" s="7" t="s">
        <v>1190</v>
      </c>
      <c r="E46" s="7" t="s">
        <v>1191</v>
      </c>
    </row>
    <row r="47" customFormat="false" ht="39" hidden="false" customHeight="true" outlineLevel="0" collapsed="false">
      <c r="A47" s="7" t="s">
        <v>1066</v>
      </c>
      <c r="B47" s="7" t="s">
        <v>1192</v>
      </c>
      <c r="C47" s="7" t="s">
        <v>1193</v>
      </c>
      <c r="D47" s="7" t="s">
        <v>1194</v>
      </c>
      <c r="E47" s="7" t="s">
        <v>1195</v>
      </c>
    </row>
    <row r="48" customFormat="false" ht="39" hidden="false" customHeight="true" outlineLevel="0" collapsed="false">
      <c r="A48" s="7" t="s">
        <v>1071</v>
      </c>
      <c r="B48" s="7" t="s">
        <v>1196</v>
      </c>
      <c r="C48" s="7" t="s">
        <v>1197</v>
      </c>
      <c r="D48" s="7" t="s">
        <v>1198</v>
      </c>
      <c r="E48" s="7" t="s">
        <v>1199</v>
      </c>
    </row>
    <row r="49" customFormat="false" ht="26.25" hidden="false" customHeight="true" outlineLevel="0" collapsed="false">
      <c r="A49" s="7" t="s">
        <v>1076</v>
      </c>
      <c r="B49" s="7" t="s">
        <v>1126</v>
      </c>
      <c r="C49" s="7" t="s">
        <v>1200</v>
      </c>
      <c r="D49" s="7" t="s">
        <v>1201</v>
      </c>
      <c r="E49" s="7" t="s">
        <v>1202</v>
      </c>
    </row>
    <row r="50" customFormat="false" ht="26.25" hidden="false" customHeight="true" outlineLevel="0" collapsed="false">
      <c r="A50" s="7" t="s">
        <v>1081</v>
      </c>
      <c r="B50" s="7" t="s">
        <v>1203</v>
      </c>
      <c r="C50" s="7" t="s">
        <v>1204</v>
      </c>
      <c r="D50" s="7" t="s">
        <v>1205</v>
      </c>
      <c r="E50" s="7" t="s">
        <v>1206</v>
      </c>
    </row>
    <row r="51" customFormat="false" ht="39" hidden="false" customHeight="true" outlineLevel="0" collapsed="false">
      <c r="A51" s="7" t="s">
        <v>1086</v>
      </c>
      <c r="B51" s="7" t="s">
        <v>80</v>
      </c>
      <c r="C51" s="7" t="s">
        <v>1207</v>
      </c>
      <c r="D51" s="7" t="s">
        <v>1208</v>
      </c>
      <c r="E51" s="7" t="s">
        <v>1209</v>
      </c>
    </row>
    <row r="52" customFormat="false" ht="39" hidden="false" customHeight="true" outlineLevel="0" collapsed="false">
      <c r="A52" s="7" t="s">
        <v>1090</v>
      </c>
      <c r="B52" s="7" t="s">
        <v>1210</v>
      </c>
      <c r="C52" s="7" t="s">
        <v>1211</v>
      </c>
      <c r="D52" s="7" t="s">
        <v>1212</v>
      </c>
      <c r="E52" s="7" t="s">
        <v>1213</v>
      </c>
    </row>
    <row r="54" customFormat="false" ht="17.25" hidden="false" customHeight="true" outlineLevel="0" collapsed="false">
      <c r="A54" s="22" t="s">
        <v>1214</v>
      </c>
    </row>
    <row r="55" customFormat="false" ht="512.25" hidden="false" customHeight="true" outlineLevel="0" collapsed="false">
      <c r="A55" s="3" t="s">
        <v>1215</v>
      </c>
    </row>
    <row r="57" customFormat="false" ht="14.25" hidden="false" customHeight="true" outlineLevel="0" collapsed="false">
      <c r="A57" s="43" t="s">
        <v>850</v>
      </c>
      <c r="B57" s="43" t="s">
        <v>1053</v>
      </c>
      <c r="C57" s="43" t="s">
        <v>1216</v>
      </c>
      <c r="D57" s="43" t="s">
        <v>1217</v>
      </c>
      <c r="E57" s="43" t="s">
        <v>1056</v>
      </c>
    </row>
    <row r="58" customFormat="false" ht="45.75" hidden="false" customHeight="true" outlineLevel="0" collapsed="false">
      <c r="A58" s="44" t="n">
        <v>1</v>
      </c>
      <c r="B58" s="10" t="s">
        <v>1203</v>
      </c>
      <c r="C58" s="11" t="s">
        <v>1218</v>
      </c>
      <c r="D58" s="11" t="s">
        <v>1219</v>
      </c>
      <c r="E58" s="11" t="s">
        <v>1220</v>
      </c>
    </row>
    <row r="59" customFormat="false" ht="34.5" hidden="false" customHeight="true" outlineLevel="0" collapsed="false">
      <c r="A59" s="44" t="n">
        <v>2</v>
      </c>
      <c r="B59" s="10" t="s">
        <v>1221</v>
      </c>
      <c r="C59" s="11" t="s">
        <v>1222</v>
      </c>
      <c r="D59" s="11" t="s">
        <v>1223</v>
      </c>
      <c r="E59" s="11" t="s">
        <v>1224</v>
      </c>
    </row>
    <row r="60" customFormat="false" ht="45.75" hidden="false" customHeight="true" outlineLevel="0" collapsed="false">
      <c r="A60" s="44" t="n">
        <v>3</v>
      </c>
      <c r="B60" s="10" t="s">
        <v>1225</v>
      </c>
      <c r="C60" s="11" t="s">
        <v>1226</v>
      </c>
      <c r="D60" s="11" t="s">
        <v>1227</v>
      </c>
      <c r="E60" s="11" t="s">
        <v>22</v>
      </c>
    </row>
    <row r="61" customFormat="false" ht="34.5" hidden="false" customHeight="true" outlineLevel="0" collapsed="false">
      <c r="A61" s="44" t="n">
        <v>4</v>
      </c>
      <c r="B61" s="10" t="s">
        <v>1228</v>
      </c>
      <c r="C61" s="11" t="s">
        <v>1229</v>
      </c>
      <c r="D61" s="11" t="s">
        <v>1230</v>
      </c>
      <c r="E61" s="11" t="s">
        <v>1231</v>
      </c>
    </row>
    <row r="62" customFormat="false" ht="45.75" hidden="false" customHeight="true" outlineLevel="0" collapsed="false">
      <c r="A62" s="44" t="n">
        <v>5</v>
      </c>
      <c r="B62" s="10" t="s">
        <v>1232</v>
      </c>
      <c r="C62" s="11" t="s">
        <v>1233</v>
      </c>
      <c r="D62" s="11" t="s">
        <v>1234</v>
      </c>
      <c r="E62" s="11" t="s">
        <v>1235</v>
      </c>
    </row>
    <row r="63" customFormat="false" ht="23.25" hidden="false" customHeight="true" outlineLevel="0" collapsed="false">
      <c r="A63" s="44" t="n">
        <v>6</v>
      </c>
      <c r="B63" s="10" t="s">
        <v>1236</v>
      </c>
      <c r="C63" s="11" t="s">
        <v>1237</v>
      </c>
      <c r="D63" s="11" t="s">
        <v>1238</v>
      </c>
      <c r="E63" s="11" t="s">
        <v>1239</v>
      </c>
    </row>
    <row r="64" customFormat="false" ht="23.25" hidden="false" customHeight="true" outlineLevel="0" collapsed="false">
      <c r="A64" s="44" t="n">
        <v>7</v>
      </c>
      <c r="B64" s="10" t="s">
        <v>1166</v>
      </c>
      <c r="C64" s="11" t="s">
        <v>1240</v>
      </c>
      <c r="D64" s="11" t="s">
        <v>1241</v>
      </c>
      <c r="E64" s="11" t="s">
        <v>1242</v>
      </c>
    </row>
    <row r="65" customFormat="false" ht="14.25" hidden="false" customHeight="true" outlineLevel="0" collapsed="false">
      <c r="A65" s="44" t="n">
        <v>8</v>
      </c>
      <c r="B65" s="10" t="s">
        <v>1243</v>
      </c>
      <c r="C65" s="11" t="s">
        <v>1244</v>
      </c>
      <c r="D65" s="11" t="s">
        <v>1245</v>
      </c>
      <c r="E65" s="11" t="s">
        <v>1173</v>
      </c>
    </row>
    <row r="67" customFormat="false" ht="17.25" hidden="false" customHeight="true" outlineLevel="0" collapsed="false">
      <c r="A67" s="22" t="s">
        <v>1246</v>
      </c>
    </row>
    <row r="68" customFormat="false" ht="14.25" hidden="false" customHeight="true" outlineLevel="0" collapsed="false">
      <c r="A68" s="43" t="s">
        <v>850</v>
      </c>
      <c r="B68" s="43" t="s">
        <v>1247</v>
      </c>
      <c r="C68" s="43" t="s">
        <v>1182</v>
      </c>
      <c r="D68" s="43" t="s">
        <v>1183</v>
      </c>
      <c r="E68" s="43" t="s">
        <v>1248</v>
      </c>
    </row>
    <row r="69" customFormat="false" ht="23.25" hidden="false" customHeight="true" outlineLevel="0" collapsed="false">
      <c r="A69" s="44" t="n">
        <v>1</v>
      </c>
      <c r="B69" s="10" t="s">
        <v>1249</v>
      </c>
      <c r="C69" s="11" t="s">
        <v>1250</v>
      </c>
      <c r="D69" s="11" t="s">
        <v>1251</v>
      </c>
      <c r="E69" s="11" t="s">
        <v>1252</v>
      </c>
    </row>
    <row r="70" customFormat="false" ht="23.25" hidden="false" customHeight="true" outlineLevel="0" collapsed="false">
      <c r="A70" s="44" t="n">
        <v>2</v>
      </c>
      <c r="B70" s="10" t="s">
        <v>1126</v>
      </c>
      <c r="C70" s="11" t="s">
        <v>1253</v>
      </c>
      <c r="D70" s="11" t="s">
        <v>1201</v>
      </c>
      <c r="E70" s="11" t="s">
        <v>1254</v>
      </c>
    </row>
    <row r="71" customFormat="false" ht="23.25" hidden="false" customHeight="true" outlineLevel="0" collapsed="false">
      <c r="A71" s="44" t="n">
        <v>3</v>
      </c>
      <c r="B71" s="10" t="s">
        <v>1203</v>
      </c>
      <c r="C71" s="11" t="s">
        <v>1255</v>
      </c>
      <c r="D71" s="11" t="s">
        <v>1256</v>
      </c>
      <c r="E71" s="11" t="s">
        <v>1257</v>
      </c>
    </row>
    <row r="72" customFormat="false" ht="23.25" hidden="false" customHeight="true" outlineLevel="0" collapsed="false">
      <c r="A72" s="44" t="n">
        <v>4</v>
      </c>
      <c r="B72" s="10" t="s">
        <v>1258</v>
      </c>
      <c r="C72" s="11" t="s">
        <v>1259</v>
      </c>
      <c r="D72" s="11" t="s">
        <v>1260</v>
      </c>
      <c r="E72" s="11" t="s">
        <v>1261</v>
      </c>
    </row>
    <row r="73" customFormat="false" ht="34.5" hidden="false" customHeight="true" outlineLevel="0" collapsed="false">
      <c r="A73" s="44" t="n">
        <v>5</v>
      </c>
      <c r="B73" s="10" t="s">
        <v>78</v>
      </c>
      <c r="C73" s="11" t="s">
        <v>1262</v>
      </c>
      <c r="D73" s="11" t="s">
        <v>1263</v>
      </c>
      <c r="E73" s="11" t="s">
        <v>1264</v>
      </c>
    </row>
    <row r="74" customFormat="false" ht="23.25" hidden="false" customHeight="true" outlineLevel="0" collapsed="false">
      <c r="A74" s="44" t="n">
        <v>6</v>
      </c>
      <c r="B74" s="10" t="s">
        <v>1265</v>
      </c>
      <c r="C74" s="11" t="s">
        <v>1266</v>
      </c>
      <c r="D74" s="11" t="s">
        <v>1267</v>
      </c>
      <c r="E74" s="11" t="s">
        <v>1268</v>
      </c>
    </row>
    <row r="75" customFormat="false" ht="23.25" hidden="false" customHeight="true" outlineLevel="0" collapsed="false">
      <c r="A75" s="44" t="n">
        <v>7</v>
      </c>
      <c r="B75" s="10" t="s">
        <v>80</v>
      </c>
      <c r="C75" s="11" t="s">
        <v>1269</v>
      </c>
      <c r="D75" s="11" t="s">
        <v>1270</v>
      </c>
      <c r="E75" s="11" t="s">
        <v>1271</v>
      </c>
    </row>
    <row r="76" customFormat="false" ht="23.25" hidden="false" customHeight="true" outlineLevel="0" collapsed="false">
      <c r="A76" s="44" t="n">
        <v>8</v>
      </c>
      <c r="B76" s="10" t="s">
        <v>1210</v>
      </c>
      <c r="C76" s="11" t="s">
        <v>1272</v>
      </c>
      <c r="D76" s="11" t="s">
        <v>1273</v>
      </c>
      <c r="E76" s="11" t="s">
        <v>1274</v>
      </c>
    </row>
    <row r="78" customFormat="false" ht="17.25" hidden="false" customHeight="true" outlineLevel="0" collapsed="false">
      <c r="A78" s="22" t="s">
        <v>1275</v>
      </c>
    </row>
    <row r="79" customFormat="false" ht="366" hidden="false" customHeight="true" outlineLevel="0" collapsed="false">
      <c r="A79" s="3" t="s">
        <v>1276</v>
      </c>
    </row>
    <row r="81" customFormat="false" ht="14.25" hidden="false" customHeight="true" outlineLevel="0" collapsed="false">
      <c r="A81" s="43" t="s">
        <v>850</v>
      </c>
      <c r="B81" s="43" t="s">
        <v>1053</v>
      </c>
      <c r="C81" s="43" t="s">
        <v>1277</v>
      </c>
      <c r="D81" s="43" t="s">
        <v>1278</v>
      </c>
      <c r="E81" s="43" t="s">
        <v>1056</v>
      </c>
    </row>
    <row r="82" customFormat="false" ht="69.75" hidden="false" customHeight="true" outlineLevel="0" collapsed="false">
      <c r="A82" s="44" t="s">
        <v>1057</v>
      </c>
      <c r="B82" s="10" t="s">
        <v>1279</v>
      </c>
      <c r="C82" s="11" t="s">
        <v>1280</v>
      </c>
      <c r="D82" s="11" t="s">
        <v>1281</v>
      </c>
      <c r="E82" s="11" t="s">
        <v>1282</v>
      </c>
    </row>
    <row r="83" customFormat="false" ht="69.75" hidden="false" customHeight="true" outlineLevel="0" collapsed="false">
      <c r="A83" s="44" t="s">
        <v>1062</v>
      </c>
      <c r="B83" s="10" t="s">
        <v>1283</v>
      </c>
      <c r="C83" s="11" t="s">
        <v>1284</v>
      </c>
      <c r="D83" s="11" t="s">
        <v>1285</v>
      </c>
      <c r="E83" s="11" t="s">
        <v>1286</v>
      </c>
    </row>
    <row r="84" customFormat="false" ht="69.75" hidden="false" customHeight="true" outlineLevel="0" collapsed="false">
      <c r="A84" s="44" t="s">
        <v>1066</v>
      </c>
      <c r="B84" s="10" t="s">
        <v>1287</v>
      </c>
      <c r="C84" s="11" t="s">
        <v>1288</v>
      </c>
      <c r="D84" s="11" t="s">
        <v>1289</v>
      </c>
      <c r="E84" s="11" t="s">
        <v>1290</v>
      </c>
    </row>
    <row r="85" customFormat="false" ht="69.75" hidden="false" customHeight="true" outlineLevel="0" collapsed="false">
      <c r="A85" s="44" t="s">
        <v>1071</v>
      </c>
      <c r="B85" s="10" t="s">
        <v>1291</v>
      </c>
      <c r="C85" s="11" t="s">
        <v>1292</v>
      </c>
      <c r="D85" s="11" t="s">
        <v>1293</v>
      </c>
      <c r="E85" s="11" t="s">
        <v>1294</v>
      </c>
    </row>
    <row r="86" customFormat="false" ht="69.75" hidden="false" customHeight="true" outlineLevel="0" collapsed="false">
      <c r="A86" s="44" t="s">
        <v>1076</v>
      </c>
      <c r="B86" s="10" t="s">
        <v>1295</v>
      </c>
      <c r="C86" s="11" t="s">
        <v>1296</v>
      </c>
      <c r="D86" s="11" t="s">
        <v>1297</v>
      </c>
      <c r="E86" s="11" t="s">
        <v>1298</v>
      </c>
    </row>
    <row r="87" customFormat="false" ht="69.75" hidden="false" customHeight="true" outlineLevel="0" collapsed="false">
      <c r="A87" s="44" t="s">
        <v>1081</v>
      </c>
      <c r="B87" s="10" t="s">
        <v>1299</v>
      </c>
      <c r="C87" s="11" t="s">
        <v>1300</v>
      </c>
      <c r="D87" s="11" t="s">
        <v>1301</v>
      </c>
      <c r="E87" s="11" t="s">
        <v>1302</v>
      </c>
    </row>
    <row r="88" customFormat="false" ht="69.75" hidden="false" customHeight="true" outlineLevel="0" collapsed="false">
      <c r="A88" s="44" t="s">
        <v>1086</v>
      </c>
      <c r="B88" s="10" t="s">
        <v>1303</v>
      </c>
      <c r="C88" s="11" t="s">
        <v>1304</v>
      </c>
      <c r="D88" s="11" t="s">
        <v>1305</v>
      </c>
      <c r="E88" s="11" t="s">
        <v>1306</v>
      </c>
    </row>
    <row r="89" customFormat="false" ht="69.75" hidden="false" customHeight="true" outlineLevel="0" collapsed="false">
      <c r="A89" s="44" t="s">
        <v>1090</v>
      </c>
      <c r="B89" s="10" t="s">
        <v>1307</v>
      </c>
      <c r="C89" s="11" t="s">
        <v>1308</v>
      </c>
      <c r="D89" s="11" t="s">
        <v>1309</v>
      </c>
      <c r="E89" s="11" t="s">
        <v>1242</v>
      </c>
    </row>
    <row r="91" customFormat="false" ht="17.25" hidden="false" customHeight="true" outlineLevel="0" collapsed="false">
      <c r="A91" s="22" t="s">
        <v>1310</v>
      </c>
    </row>
    <row r="92" customFormat="false" ht="14.25" hidden="false" customHeight="true" outlineLevel="0" collapsed="false">
      <c r="A92" s="43" t="s">
        <v>850</v>
      </c>
      <c r="B92" s="43" t="s">
        <v>1247</v>
      </c>
      <c r="C92" s="43" t="s">
        <v>1182</v>
      </c>
      <c r="D92" s="43" t="s">
        <v>1183</v>
      </c>
      <c r="E92" s="43" t="s">
        <v>1248</v>
      </c>
    </row>
    <row r="93" customFormat="false" ht="69.75" hidden="false" customHeight="true" outlineLevel="0" collapsed="false">
      <c r="A93" s="44" t="s">
        <v>1057</v>
      </c>
      <c r="B93" s="10" t="s">
        <v>1311</v>
      </c>
      <c r="C93" s="11" t="s">
        <v>1312</v>
      </c>
      <c r="D93" s="11" t="s">
        <v>1251</v>
      </c>
      <c r="E93" s="11" t="s">
        <v>1313</v>
      </c>
    </row>
    <row r="94" customFormat="false" ht="69.75" hidden="false" customHeight="true" outlineLevel="0" collapsed="false">
      <c r="A94" s="44" t="s">
        <v>1062</v>
      </c>
      <c r="B94" s="10" t="s">
        <v>1314</v>
      </c>
      <c r="C94" s="11" t="s">
        <v>1253</v>
      </c>
      <c r="D94" s="11" t="s">
        <v>1201</v>
      </c>
      <c r="E94" s="11" t="s">
        <v>1254</v>
      </c>
    </row>
    <row r="95" customFormat="false" ht="69.75" hidden="false" customHeight="true" outlineLevel="0" collapsed="false">
      <c r="A95" s="44" t="s">
        <v>1066</v>
      </c>
      <c r="B95" s="10" t="s">
        <v>1315</v>
      </c>
      <c r="C95" s="11" t="s">
        <v>1316</v>
      </c>
      <c r="D95" s="11" t="s">
        <v>1317</v>
      </c>
      <c r="E95" s="11" t="s">
        <v>1318</v>
      </c>
    </row>
    <row r="96" customFormat="false" ht="69.75" hidden="false" customHeight="true" outlineLevel="0" collapsed="false">
      <c r="A96" s="44" t="s">
        <v>1071</v>
      </c>
      <c r="B96" s="10" t="s">
        <v>1319</v>
      </c>
      <c r="C96" s="11" t="s">
        <v>1320</v>
      </c>
      <c r="D96" s="11" t="s">
        <v>1321</v>
      </c>
      <c r="E96" s="11" t="s">
        <v>1322</v>
      </c>
    </row>
    <row r="97" customFormat="false" ht="69.75" hidden="false" customHeight="true" outlineLevel="0" collapsed="false">
      <c r="A97" s="44" t="s">
        <v>1076</v>
      </c>
      <c r="B97" s="10" t="s">
        <v>1323</v>
      </c>
      <c r="C97" s="11" t="s">
        <v>1324</v>
      </c>
      <c r="D97" s="11" t="s">
        <v>1325</v>
      </c>
      <c r="E97" s="11" t="s">
        <v>1261</v>
      </c>
    </row>
    <row r="98" customFormat="false" ht="69.75" hidden="false" customHeight="true" outlineLevel="0" collapsed="false">
      <c r="A98" s="44" t="s">
        <v>1081</v>
      </c>
      <c r="B98" s="10" t="s">
        <v>1326</v>
      </c>
      <c r="C98" s="11" t="s">
        <v>1327</v>
      </c>
      <c r="D98" s="11" t="s">
        <v>1328</v>
      </c>
      <c r="E98" s="11" t="s">
        <v>1329</v>
      </c>
    </row>
    <row r="99" customFormat="false" ht="69.75" hidden="false" customHeight="true" outlineLevel="0" collapsed="false">
      <c r="A99" s="44" t="s">
        <v>1086</v>
      </c>
      <c r="B99" s="10" t="s">
        <v>78</v>
      </c>
      <c r="C99" s="11" t="s">
        <v>1330</v>
      </c>
      <c r="D99" s="11" t="s">
        <v>1331</v>
      </c>
      <c r="E99" s="11" t="s">
        <v>1332</v>
      </c>
    </row>
    <row r="100" customFormat="false" ht="69.75" hidden="false" customHeight="true" outlineLevel="0" collapsed="false">
      <c r="A100" s="44" t="s">
        <v>1090</v>
      </c>
      <c r="B100" s="10" t="s">
        <v>1333</v>
      </c>
      <c r="C100" s="11" t="s">
        <v>1334</v>
      </c>
      <c r="D100" s="11" t="s">
        <v>1267</v>
      </c>
      <c r="E100" s="11" t="s">
        <v>1335</v>
      </c>
    </row>
    <row r="101" customFormat="false" ht="69.75" hidden="false" customHeight="true" outlineLevel="0" collapsed="false">
      <c r="A101" s="44" t="s">
        <v>1095</v>
      </c>
      <c r="B101" s="10" t="s">
        <v>80</v>
      </c>
      <c r="C101" s="11" t="s">
        <v>1269</v>
      </c>
      <c r="D101" s="11" t="s">
        <v>1336</v>
      </c>
      <c r="E101" s="11" t="s">
        <v>1271</v>
      </c>
    </row>
    <row r="102" customFormat="false" ht="69.75" hidden="false" customHeight="true" outlineLevel="0" collapsed="false">
      <c r="A102" s="44" t="s">
        <v>1100</v>
      </c>
      <c r="B102" s="10" t="s">
        <v>1210</v>
      </c>
      <c r="C102" s="11" t="s">
        <v>1337</v>
      </c>
      <c r="D102" s="11" t="s">
        <v>1273</v>
      </c>
      <c r="E102" s="11" t="s">
        <v>1338</v>
      </c>
    </row>
    <row r="103" customFormat="false" ht="69.75" hidden="false" customHeight="true" outlineLevel="0" collapsed="false">
      <c r="A103" s="44" t="s">
        <v>1105</v>
      </c>
      <c r="B103" s="10" t="s">
        <v>1339</v>
      </c>
      <c r="C103" s="11" t="s">
        <v>1340</v>
      </c>
      <c r="D103" s="11" t="s">
        <v>1341</v>
      </c>
      <c r="E103" s="11" t="s">
        <v>1342</v>
      </c>
    </row>
    <row r="105" customFormat="false" ht="17.35" hidden="false" customHeight="false" outlineLevel="0" collapsed="false">
      <c r="A105" s="22" t="s">
        <v>1343</v>
      </c>
    </row>
    <row r="106" customFormat="false" ht="168.65" hidden="false" customHeight="false" outlineLevel="0" collapsed="false">
      <c r="A106" s="3" t="s">
        <v>1344</v>
      </c>
    </row>
    <row r="108" customFormat="false" ht="14.25" hidden="false" customHeight="false" outlineLevel="0" collapsed="false">
      <c r="A108" s="43" t="s">
        <v>850</v>
      </c>
      <c r="B108" s="43" t="s">
        <v>1053</v>
      </c>
      <c r="C108" s="43" t="s">
        <v>1345</v>
      </c>
      <c r="D108" s="43" t="s">
        <v>1346</v>
      </c>
      <c r="E108" s="43" t="s">
        <v>1056</v>
      </c>
    </row>
    <row r="109" customFormat="false" ht="69.75" hidden="false" customHeight="true" outlineLevel="0" collapsed="false">
      <c r="A109" s="44" t="s">
        <v>1057</v>
      </c>
      <c r="B109" s="10" t="s">
        <v>1347</v>
      </c>
      <c r="C109" s="11" t="s">
        <v>1348</v>
      </c>
      <c r="D109" s="11" t="s">
        <v>1349</v>
      </c>
      <c r="E109" s="11" t="s">
        <v>1350</v>
      </c>
    </row>
    <row r="110" customFormat="false" ht="69.75" hidden="false" customHeight="true" outlineLevel="0" collapsed="false">
      <c r="A110" s="44" t="s">
        <v>1062</v>
      </c>
      <c r="B110" s="10" t="s">
        <v>1351</v>
      </c>
      <c r="C110" s="11" t="s">
        <v>1352</v>
      </c>
      <c r="D110" s="11" t="s">
        <v>1353</v>
      </c>
      <c r="E110" s="11" t="s">
        <v>1354</v>
      </c>
    </row>
    <row r="111" customFormat="false" ht="69.75" hidden="false" customHeight="true" outlineLevel="0" collapsed="false">
      <c r="A111" s="44" t="s">
        <v>1066</v>
      </c>
      <c r="B111" s="10" t="s">
        <v>1166</v>
      </c>
      <c r="C111" s="11" t="s">
        <v>1355</v>
      </c>
      <c r="D111" s="11" t="s">
        <v>1356</v>
      </c>
      <c r="E111" s="11" t="s">
        <v>1242</v>
      </c>
    </row>
    <row r="113" customFormat="false" ht="17.35" hidden="false" customHeight="false" outlineLevel="0" collapsed="false">
      <c r="A113" s="22" t="s">
        <v>1357</v>
      </c>
    </row>
    <row r="114" customFormat="false" ht="14.25" hidden="false" customHeight="false" outlineLevel="0" collapsed="false">
      <c r="A114" s="43" t="s">
        <v>850</v>
      </c>
      <c r="B114" s="43" t="s">
        <v>1247</v>
      </c>
      <c r="C114" s="43" t="s">
        <v>1182</v>
      </c>
      <c r="D114" s="43" t="s">
        <v>1183</v>
      </c>
      <c r="E114" s="43" t="s">
        <v>1248</v>
      </c>
    </row>
    <row r="115" customFormat="false" ht="69.75" hidden="false" customHeight="true" outlineLevel="0" collapsed="false">
      <c r="A115" s="44" t="s">
        <v>1057</v>
      </c>
      <c r="B115" s="10" t="s">
        <v>1249</v>
      </c>
      <c r="C115" s="11" t="s">
        <v>1250</v>
      </c>
      <c r="D115" s="11" t="s">
        <v>1251</v>
      </c>
      <c r="E115" s="11" t="s">
        <v>1252</v>
      </c>
    </row>
    <row r="116" customFormat="false" ht="69.75" hidden="false" customHeight="true" outlineLevel="0" collapsed="false">
      <c r="A116" s="44" t="s">
        <v>1062</v>
      </c>
      <c r="B116" s="10" t="s">
        <v>1126</v>
      </c>
      <c r="C116" s="11" t="s">
        <v>1253</v>
      </c>
      <c r="D116" s="11" t="s">
        <v>1201</v>
      </c>
      <c r="E116" s="11" t="s">
        <v>1254</v>
      </c>
    </row>
    <row r="117" customFormat="false" ht="69.75" hidden="false" customHeight="true" outlineLevel="0" collapsed="false">
      <c r="A117" s="44" t="s">
        <v>1066</v>
      </c>
      <c r="B117" s="10" t="s">
        <v>1358</v>
      </c>
      <c r="C117" s="11" t="s">
        <v>1320</v>
      </c>
      <c r="D117" s="11" t="s">
        <v>1359</v>
      </c>
      <c r="E117" s="11" t="s">
        <v>1360</v>
      </c>
    </row>
    <row r="118" customFormat="false" ht="69.75" hidden="false" customHeight="true" outlineLevel="0" collapsed="false">
      <c r="A118" s="44" t="s">
        <v>1071</v>
      </c>
      <c r="B118" s="10" t="s">
        <v>1361</v>
      </c>
      <c r="C118" s="11" t="s">
        <v>1362</v>
      </c>
      <c r="D118" s="11" t="s">
        <v>1260</v>
      </c>
      <c r="E118" s="11" t="s">
        <v>1261</v>
      </c>
    </row>
    <row r="119" customFormat="false" ht="69.75" hidden="false" customHeight="true" outlineLevel="0" collapsed="false">
      <c r="A119" s="44" t="s">
        <v>1076</v>
      </c>
      <c r="B119" s="10" t="s">
        <v>1326</v>
      </c>
      <c r="C119" s="11" t="s">
        <v>1363</v>
      </c>
      <c r="D119" s="11" t="s">
        <v>1364</v>
      </c>
      <c r="E119" s="11" t="s">
        <v>1329</v>
      </c>
    </row>
    <row r="120" customFormat="false" ht="69.75" hidden="false" customHeight="true" outlineLevel="0" collapsed="false">
      <c r="A120" s="44" t="s">
        <v>1081</v>
      </c>
      <c r="B120" s="10" t="s">
        <v>78</v>
      </c>
      <c r="C120" s="11" t="s">
        <v>1365</v>
      </c>
      <c r="D120" s="11" t="s">
        <v>1366</v>
      </c>
      <c r="E120" s="11" t="s">
        <v>1264</v>
      </c>
    </row>
    <row r="121" customFormat="false" ht="69.75" hidden="false" customHeight="true" outlineLevel="0" collapsed="false">
      <c r="A121" s="44" t="s">
        <v>1086</v>
      </c>
      <c r="B121" s="10" t="s">
        <v>1265</v>
      </c>
      <c r="C121" s="11" t="s">
        <v>1367</v>
      </c>
      <c r="D121" s="11" t="s">
        <v>1267</v>
      </c>
      <c r="E121" s="11" t="s">
        <v>1368</v>
      </c>
    </row>
    <row r="122" customFormat="false" ht="69.75" hidden="false" customHeight="true" outlineLevel="0" collapsed="false">
      <c r="A122" s="44" t="s">
        <v>1090</v>
      </c>
      <c r="B122" s="10" t="s">
        <v>80</v>
      </c>
      <c r="C122" s="11" t="s">
        <v>1269</v>
      </c>
      <c r="D122" s="11" t="s">
        <v>1336</v>
      </c>
      <c r="E122" s="11" t="s">
        <v>1271</v>
      </c>
    </row>
    <row r="123" customFormat="false" ht="69.75" hidden="false" customHeight="true" outlineLevel="0" collapsed="false">
      <c r="A123" s="44" t="s">
        <v>1095</v>
      </c>
      <c r="B123" s="10" t="s">
        <v>1210</v>
      </c>
      <c r="C123" s="11" t="s">
        <v>1369</v>
      </c>
      <c r="D123" s="11" t="s">
        <v>1273</v>
      </c>
      <c r="E123" s="11" t="s">
        <v>1274</v>
      </c>
    </row>
    <row r="124" customFormat="false" ht="69.75" hidden="false" customHeight="true" outlineLevel="0" collapsed="false">
      <c r="A124" s="44" t="s">
        <v>1100</v>
      </c>
      <c r="B124" s="10" t="s">
        <v>1370</v>
      </c>
      <c r="C124" s="11" t="s">
        <v>1340</v>
      </c>
      <c r="D124" s="11" t="s">
        <v>1371</v>
      </c>
      <c r="E124" s="11" t="s">
        <v>1372</v>
      </c>
    </row>
    <row r="125" customFormat="false" ht="69.75" hidden="false" customHeight="true" outlineLevel="0" collapsed="false">
      <c r="A125" s="44" t="s">
        <v>1105</v>
      </c>
      <c r="B125" s="10" t="s">
        <v>1373</v>
      </c>
      <c r="C125" s="11" t="s">
        <v>1374</v>
      </c>
      <c r="D125" s="11" t="s">
        <v>1375</v>
      </c>
      <c r="E125" s="11" t="s">
        <v>1376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4"/>
    <col collapsed="false" customWidth="true" hidden="false" outlineLevel="0" max="3" min="3" style="1" width="18"/>
    <col collapsed="false" customWidth="true" hidden="false" outlineLevel="0" max="4" min="4" style="1" width="52"/>
    <col collapsed="false" customWidth="true" hidden="false" outlineLevel="0" max="6" min="5" style="1" width="16"/>
    <col collapsed="false" customWidth="true" hidden="false" outlineLevel="0" max="7" min="7" style="1" width="66"/>
    <col collapsed="false" customWidth="true" hidden="false" outlineLevel="0" max="8" min="8" style="1" width="30"/>
    <col collapsed="false" customWidth="true" hidden="false" outlineLevel="0" max="10" min="9" style="1" width="12"/>
  </cols>
  <sheetData>
    <row r="1" customFormat="false" ht="17.25" hidden="false" customHeight="true" outlineLevel="0" collapsed="false">
      <c r="A1" s="22" t="s">
        <v>1377</v>
      </c>
    </row>
    <row r="2" customFormat="false" ht="30" hidden="false" customHeight="true" outlineLevel="0" collapsed="false">
      <c r="A2" s="3" t="s">
        <v>1378</v>
      </c>
    </row>
    <row r="4" customFormat="false" ht="23.25" hidden="false" customHeight="true" outlineLevel="0" collapsed="false">
      <c r="A4" s="43" t="s">
        <v>184</v>
      </c>
      <c r="B4" s="43" t="s">
        <v>1379</v>
      </c>
      <c r="C4" s="43" t="s">
        <v>133</v>
      </c>
      <c r="D4" s="43" t="s">
        <v>1380</v>
      </c>
      <c r="E4" s="43" t="s">
        <v>1381</v>
      </c>
      <c r="F4" s="43" t="s">
        <v>1382</v>
      </c>
      <c r="G4" s="43" t="s">
        <v>1383</v>
      </c>
      <c r="H4" s="43" t="s">
        <v>1384</v>
      </c>
      <c r="I4" s="43" t="s">
        <v>305</v>
      </c>
      <c r="J4" s="43" t="s">
        <v>342</v>
      </c>
    </row>
    <row r="5" customFormat="false" ht="34.5" hidden="false" customHeight="true" outlineLevel="0" collapsed="false">
      <c r="A5" s="10" t="s">
        <v>1385</v>
      </c>
      <c r="B5" s="11" t="s">
        <v>1386</v>
      </c>
      <c r="C5" s="11" t="s">
        <v>1387</v>
      </c>
      <c r="D5" s="11" t="s">
        <v>1388</v>
      </c>
      <c r="E5" s="11" t="s">
        <v>938</v>
      </c>
      <c r="F5" s="11" t="s">
        <v>1389</v>
      </c>
      <c r="G5" s="11" t="s">
        <v>1390</v>
      </c>
      <c r="H5" s="11" t="s">
        <v>1391</v>
      </c>
      <c r="I5" s="11" t="s">
        <v>1392</v>
      </c>
      <c r="J5" s="11" t="s">
        <v>353</v>
      </c>
    </row>
    <row r="6" customFormat="false" ht="45.75" hidden="false" customHeight="true" outlineLevel="0" collapsed="false">
      <c r="A6" s="10" t="s">
        <v>1393</v>
      </c>
      <c r="B6" s="11" t="s">
        <v>1394</v>
      </c>
      <c r="C6" s="11" t="s">
        <v>1395</v>
      </c>
      <c r="D6" s="11" t="s">
        <v>1396</v>
      </c>
      <c r="E6" s="11" t="s">
        <v>977</v>
      </c>
      <c r="F6" s="11" t="s">
        <v>520</v>
      </c>
      <c r="G6" s="11" t="s">
        <v>1397</v>
      </c>
      <c r="H6" s="11" t="s">
        <v>1398</v>
      </c>
      <c r="I6" s="11" t="s">
        <v>1392</v>
      </c>
      <c r="J6" s="11" t="s">
        <v>353</v>
      </c>
    </row>
    <row r="7" customFormat="false" ht="34.5" hidden="false" customHeight="true" outlineLevel="0" collapsed="false">
      <c r="A7" s="10" t="s">
        <v>1399</v>
      </c>
      <c r="B7" s="11" t="s">
        <v>1400</v>
      </c>
      <c r="C7" s="11" t="s">
        <v>1401</v>
      </c>
      <c r="D7" s="11" t="s">
        <v>1402</v>
      </c>
      <c r="E7" s="11" t="s">
        <v>990</v>
      </c>
      <c r="F7" s="11" t="s">
        <v>1403</v>
      </c>
      <c r="G7" s="11" t="s">
        <v>1404</v>
      </c>
      <c r="H7" s="11" t="s">
        <v>299</v>
      </c>
      <c r="I7" s="11" t="s">
        <v>1392</v>
      </c>
      <c r="J7" s="11" t="s">
        <v>353</v>
      </c>
    </row>
    <row r="8" customFormat="false" ht="45.75" hidden="false" customHeight="true" outlineLevel="0" collapsed="false">
      <c r="A8" s="10" t="s">
        <v>1405</v>
      </c>
      <c r="B8" s="11" t="s">
        <v>1406</v>
      </c>
      <c r="C8" s="11" t="s">
        <v>1387</v>
      </c>
      <c r="D8" s="11" t="s">
        <v>1407</v>
      </c>
      <c r="E8" s="11" t="s">
        <v>958</v>
      </c>
      <c r="F8" s="11" t="s">
        <v>1408</v>
      </c>
      <c r="G8" s="11" t="s">
        <v>1409</v>
      </c>
      <c r="H8" s="11" t="s">
        <v>1410</v>
      </c>
      <c r="I8" s="11" t="s">
        <v>1392</v>
      </c>
      <c r="J8" s="11" t="s">
        <v>353</v>
      </c>
    </row>
    <row r="9" customFormat="false" ht="109.5" hidden="false" customHeight="true" outlineLevel="0" collapsed="false">
      <c r="A9" s="10" t="s">
        <v>1411</v>
      </c>
      <c r="B9" s="11" t="s">
        <v>1412</v>
      </c>
      <c r="C9" s="11" t="s">
        <v>1413</v>
      </c>
      <c r="D9" s="11" t="s">
        <v>1414</v>
      </c>
      <c r="E9" s="11" t="s">
        <v>983</v>
      </c>
      <c r="F9" s="11" t="s">
        <v>1415</v>
      </c>
      <c r="G9" s="11" t="s">
        <v>1416</v>
      </c>
      <c r="H9" s="11" t="s">
        <v>1417</v>
      </c>
      <c r="I9" s="11" t="s">
        <v>1392</v>
      </c>
      <c r="J9" s="11" t="s">
        <v>353</v>
      </c>
    </row>
    <row r="10" customFormat="false" ht="109.5" hidden="false" customHeight="true" outlineLevel="0" collapsed="false">
      <c r="A10" s="10" t="s">
        <v>1418</v>
      </c>
      <c r="B10" s="11" t="s">
        <v>1419</v>
      </c>
      <c r="C10" s="11" t="s">
        <v>1387</v>
      </c>
      <c r="D10" s="11" t="s">
        <v>1420</v>
      </c>
      <c r="E10" s="11" t="s">
        <v>1421</v>
      </c>
      <c r="F10" s="11" t="s">
        <v>1389</v>
      </c>
      <c r="G10" s="11" t="s">
        <v>1422</v>
      </c>
      <c r="H10" s="11" t="s">
        <v>1391</v>
      </c>
      <c r="I10" s="11" t="s">
        <v>1392</v>
      </c>
      <c r="J10" s="11" t="s">
        <v>353</v>
      </c>
    </row>
    <row r="11" customFormat="false" ht="109.5" hidden="false" customHeight="true" outlineLevel="0" collapsed="false">
      <c r="A11" s="10" t="s">
        <v>1423</v>
      </c>
      <c r="B11" s="11" t="s">
        <v>1424</v>
      </c>
      <c r="C11" s="11" t="s">
        <v>1395</v>
      </c>
      <c r="D11" s="11" t="s">
        <v>1425</v>
      </c>
      <c r="E11" s="11" t="s">
        <v>983</v>
      </c>
      <c r="F11" s="11" t="s">
        <v>1426</v>
      </c>
      <c r="G11" s="11" t="s">
        <v>1427</v>
      </c>
      <c r="H11" s="11" t="s">
        <v>1428</v>
      </c>
      <c r="I11" s="11" t="s">
        <v>1392</v>
      </c>
      <c r="J11" s="11" t="s">
        <v>353</v>
      </c>
    </row>
    <row r="12" customFormat="false" ht="109.5" hidden="false" customHeight="true" outlineLevel="0" collapsed="false">
      <c r="A12" s="10" t="s">
        <v>1429</v>
      </c>
      <c r="B12" s="11" t="s">
        <v>1430</v>
      </c>
      <c r="C12" s="11" t="s">
        <v>1431</v>
      </c>
      <c r="D12" s="11" t="s">
        <v>1432</v>
      </c>
      <c r="E12" s="11" t="s">
        <v>1433</v>
      </c>
      <c r="F12" s="11" t="s">
        <v>1434</v>
      </c>
      <c r="G12" s="11" t="s">
        <v>1435</v>
      </c>
      <c r="H12" s="11" t="s">
        <v>1436</v>
      </c>
      <c r="I12" s="11" t="s">
        <v>1392</v>
      </c>
      <c r="J12" s="11"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8"/>
    <col collapsed="false" customWidth="true" hidden="false" outlineLevel="0" max="3" min="3" style="1" width="16"/>
    <col collapsed="false" customWidth="true" hidden="false" outlineLevel="0" max="4" min="4" style="1" width="28"/>
    <col collapsed="false" customWidth="true" hidden="false" outlineLevel="0" max="5" min="5" style="1" width="14"/>
    <col collapsed="false" customWidth="true" hidden="false" outlineLevel="0" max="6" min="6" style="1" width="22"/>
    <col collapsed="false" customWidth="true" hidden="false" outlineLevel="0" max="7" min="7" style="1" width="26"/>
    <col collapsed="false" customWidth="true" hidden="false" outlineLevel="0" max="8" min="8" style="1" width="18"/>
    <col collapsed="false" customWidth="true" hidden="false" outlineLevel="0" max="10" min="9" style="1" width="13"/>
    <col collapsed="false" customWidth="true" hidden="false" outlineLevel="0" max="11" min="11" style="1" width="70"/>
  </cols>
  <sheetData>
    <row r="1" customFormat="false" ht="17.25" hidden="false" customHeight="true" outlineLevel="0" collapsed="false">
      <c r="A1" s="22" t="s">
        <v>1437</v>
      </c>
    </row>
    <row r="2" customFormat="false" ht="30" hidden="false" customHeight="true" outlineLevel="0" collapsed="false">
      <c r="A2" s="3" t="s">
        <v>1438</v>
      </c>
    </row>
    <row r="4" customFormat="false" ht="15" hidden="false" customHeight="true" outlineLevel="0" collapsed="false">
      <c r="A4" s="43" t="s">
        <v>184</v>
      </c>
      <c r="B4" s="43" t="s">
        <v>705</v>
      </c>
      <c r="C4" s="43" t="s">
        <v>1439</v>
      </c>
      <c r="D4" s="43" t="s">
        <v>1440</v>
      </c>
      <c r="E4" s="43" t="s">
        <v>1441</v>
      </c>
      <c r="F4" s="43" t="s">
        <v>871</v>
      </c>
      <c r="G4" s="43" t="s">
        <v>1442</v>
      </c>
      <c r="H4" s="43" t="s">
        <v>1443</v>
      </c>
      <c r="I4" s="43" t="s">
        <v>1444</v>
      </c>
      <c r="J4" s="43" t="s">
        <v>1445</v>
      </c>
      <c r="K4" s="43" t="s">
        <v>1446</v>
      </c>
    </row>
    <row r="5" customFormat="false" ht="34.5" hidden="false" customHeight="true" outlineLevel="0" collapsed="false">
      <c r="A5" s="10" t="s">
        <v>1447</v>
      </c>
      <c r="B5" s="11" t="s">
        <v>1448</v>
      </c>
      <c r="C5" s="11" t="s">
        <v>153</v>
      </c>
      <c r="D5" s="11" t="s">
        <v>1449</v>
      </c>
      <c r="E5" s="11" t="s">
        <v>1450</v>
      </c>
      <c r="F5" s="11" t="s">
        <v>1451</v>
      </c>
      <c r="G5" s="11" t="s">
        <v>1452</v>
      </c>
      <c r="H5" s="11" t="s">
        <v>971</v>
      </c>
      <c r="I5" s="11" t="s">
        <v>1453</v>
      </c>
      <c r="J5" s="11" t="s">
        <v>1454</v>
      </c>
      <c r="K5" s="11" t="s">
        <v>1455</v>
      </c>
    </row>
    <row r="6" customFormat="false" ht="34.5" hidden="false" customHeight="true" outlineLevel="0" collapsed="false">
      <c r="A6" s="10" t="s">
        <v>1456</v>
      </c>
      <c r="B6" s="11" t="s">
        <v>1457</v>
      </c>
      <c r="C6" s="11" t="s">
        <v>153</v>
      </c>
      <c r="D6" s="11" t="s">
        <v>1449</v>
      </c>
      <c r="E6" s="11" t="s">
        <v>1458</v>
      </c>
      <c r="F6" s="11" t="s">
        <v>1459</v>
      </c>
      <c r="G6" s="11" t="s">
        <v>1460</v>
      </c>
      <c r="H6" s="11" t="s">
        <v>1461</v>
      </c>
      <c r="I6" s="11" t="s">
        <v>1453</v>
      </c>
      <c r="J6" s="11" t="s">
        <v>1454</v>
      </c>
      <c r="K6" s="11" t="s">
        <v>1462</v>
      </c>
    </row>
    <row r="7" customFormat="false" ht="23.25" hidden="false" customHeight="true" outlineLevel="0" collapsed="false">
      <c r="A7" s="10" t="s">
        <v>1463</v>
      </c>
      <c r="B7" s="11" t="s">
        <v>1464</v>
      </c>
      <c r="C7" s="11" t="s">
        <v>159</v>
      </c>
      <c r="D7" s="11" t="s">
        <v>1465</v>
      </c>
      <c r="E7" s="11" t="s">
        <v>233</v>
      </c>
      <c r="F7" s="11" t="s">
        <v>237</v>
      </c>
      <c r="G7" s="11" t="s">
        <v>1466</v>
      </c>
      <c r="H7" s="11" t="s">
        <v>945</v>
      </c>
      <c r="I7" s="11" t="s">
        <v>1467</v>
      </c>
      <c r="J7" s="11" t="s">
        <v>1454</v>
      </c>
      <c r="K7" s="11" t="s">
        <v>1468</v>
      </c>
    </row>
    <row r="8" customFormat="false" ht="34.5" hidden="false" customHeight="true" outlineLevel="0" collapsed="false">
      <c r="A8" s="10" t="s">
        <v>1469</v>
      </c>
      <c r="B8" s="11" t="s">
        <v>1470</v>
      </c>
      <c r="C8" s="11" t="s">
        <v>146</v>
      </c>
      <c r="D8" s="11" t="s">
        <v>1471</v>
      </c>
      <c r="E8" s="11" t="s">
        <v>252</v>
      </c>
      <c r="F8" s="11" t="s">
        <v>1472</v>
      </c>
      <c r="G8" s="11" t="s">
        <v>886</v>
      </c>
      <c r="H8" s="11" t="s">
        <v>958</v>
      </c>
      <c r="I8" s="11" t="s">
        <v>1467</v>
      </c>
      <c r="J8" s="11" t="s">
        <v>1473</v>
      </c>
      <c r="K8" s="11" t="s">
        <v>1474</v>
      </c>
    </row>
    <row r="9" customFormat="false" ht="34.5" hidden="false" customHeight="true" outlineLevel="0" collapsed="false">
      <c r="A9" s="10" t="s">
        <v>1475</v>
      </c>
      <c r="B9" s="11" t="s">
        <v>1476</v>
      </c>
      <c r="C9" s="11" t="s">
        <v>146</v>
      </c>
      <c r="D9" s="11" t="s">
        <v>1477</v>
      </c>
      <c r="E9" s="11" t="s">
        <v>1478</v>
      </c>
      <c r="F9" s="11" t="s">
        <v>1479</v>
      </c>
      <c r="G9" s="11" t="s">
        <v>1480</v>
      </c>
      <c r="H9" s="11" t="s">
        <v>1481</v>
      </c>
      <c r="I9" s="11" t="s">
        <v>1467</v>
      </c>
      <c r="J9" s="11" t="s">
        <v>1473</v>
      </c>
      <c r="K9" s="11" t="s">
        <v>1482</v>
      </c>
    </row>
    <row r="10" customFormat="false" ht="34.5" hidden="false" customHeight="true" outlineLevel="0" collapsed="false">
      <c r="A10" s="10" t="s">
        <v>1483</v>
      </c>
      <c r="B10" s="11" t="s">
        <v>1484</v>
      </c>
      <c r="C10" s="11" t="s">
        <v>146</v>
      </c>
      <c r="D10" s="11" t="s">
        <v>1485</v>
      </c>
      <c r="E10" s="11" t="s">
        <v>1486</v>
      </c>
      <c r="F10" s="11" t="s">
        <v>1487</v>
      </c>
      <c r="G10" s="11" t="s">
        <v>1488</v>
      </c>
      <c r="H10" s="11" t="s">
        <v>945</v>
      </c>
      <c r="I10" s="11" t="s">
        <v>1467</v>
      </c>
      <c r="J10" s="11" t="s">
        <v>1473</v>
      </c>
      <c r="K10" s="11" t="s">
        <v>1489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2"/>
    <col collapsed="false" customWidth="true" hidden="false" outlineLevel="0" max="4" min="4" style="1" width="13"/>
    <col collapsed="false" customWidth="true" hidden="false" outlineLevel="0" max="5" min="5" style="1" width="56"/>
    <col collapsed="false" customWidth="true" hidden="false" outlineLevel="0" max="6" min="6" style="1" width="34"/>
    <col collapsed="false" customWidth="true" hidden="false" outlineLevel="0" max="7" min="7" style="1" width="74"/>
    <col collapsed="false" customWidth="true" hidden="false" outlineLevel="0" max="8" min="8" style="1" width="60"/>
  </cols>
  <sheetData>
    <row r="1" customFormat="false" ht="17.25" hidden="false" customHeight="true" outlineLevel="0" collapsed="false">
      <c r="A1" s="22" t="s">
        <v>1490</v>
      </c>
    </row>
    <row r="2" customFormat="false" ht="30" hidden="false" customHeight="true" outlineLevel="0" collapsed="false">
      <c r="A2" s="3" t="s">
        <v>1491</v>
      </c>
    </row>
    <row r="4" customFormat="false" ht="15" hidden="false" customHeight="true" outlineLevel="0" collapsed="false">
      <c r="A4" s="43" t="s">
        <v>184</v>
      </c>
      <c r="B4" s="43" t="s">
        <v>1492</v>
      </c>
      <c r="C4" s="43" t="s">
        <v>342</v>
      </c>
      <c r="D4" s="43" t="s">
        <v>1493</v>
      </c>
      <c r="E4" s="43" t="s">
        <v>1494</v>
      </c>
      <c r="F4" s="43" t="s">
        <v>1495</v>
      </c>
      <c r="G4" s="43" t="s">
        <v>186</v>
      </c>
      <c r="H4" s="43" t="s">
        <v>1496</v>
      </c>
    </row>
    <row r="5" customFormat="false" ht="45.75" hidden="false" customHeight="true" outlineLevel="0" collapsed="false">
      <c r="A5" s="10" t="s">
        <v>1497</v>
      </c>
      <c r="B5" s="11" t="s">
        <v>1498</v>
      </c>
      <c r="C5" s="11" t="s">
        <v>1499</v>
      </c>
      <c r="D5" s="11" t="s">
        <v>1500</v>
      </c>
      <c r="E5" s="11" t="s">
        <v>1501</v>
      </c>
      <c r="F5" s="11" t="s">
        <v>1502</v>
      </c>
      <c r="G5" s="11" t="s">
        <v>1503</v>
      </c>
      <c r="H5" s="11" t="s">
        <v>1504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2026-07-31T20:40:40Z</dcterms:created>
  <dc:creator>openpyxl</dc:creator>
  <dc:description/>
  <dc:language>en-US</dc:language>
  <cp:lastModifiedBy>Mariana Uribe</cp:lastModifiedBy>
  <dcterms:modified xsi:type="dcterms:W3CDTF">2026-09-11T20:57:32Z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