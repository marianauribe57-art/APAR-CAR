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atriz" sheetId="2" state="visible" r:id="rId4"/>
    <sheet name="Huecos" sheetId="3" state="visible" r:id="rId5"/>
    <sheet name="Cobertura" sheetId="4" state="visible" r:id="rId6"/>
    <sheet name="Catalog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<sst xmlns="http://schemas.openxmlformats.org/spreadsheetml/2006/main" count="345" uniqueCount="195">
  <si>
    <t xml:space="preserve">P05 · MATRIZ DE TRAZABILIDAD DEL PROYECTO</t>
  </si>
  <si>
    <t xml:space="preserve">Plantilla del proyecto formativo – T5 Ingeniería de Software · Evidencia GA2-AA3-EV08</t>
  </si>
  <si>
    <t xml:space="preserve">Propósito</t>
  </si>
  <si>
    <t xml:space="preserve">Demostrar que ninguna necesidad quedó sin requisito, ningún requisito sin historia, ninguna historia sin modelado y ningún modelado sin prueba.</t>
  </si>
  <si>
    <t xml:space="preserve">Cadena completa</t>
  </si>
  <si>
    <t xml:space="preserve">Problema → Objetivo → Stakeholder → Requisito → Regla → Historia → Modelado → Componente → Prueba → Evidencia.</t>
  </si>
  <si>
    <t xml:space="preserve">Cuándo se diligencia</t>
  </si>
  <si>
    <t xml:space="preserve">Cada semana, al crear cada elemento. Dejarla para el final es el error más costoso del trimestre.</t>
  </si>
  <si>
    <t xml:space="preserve">Hoja Matriz</t>
  </si>
  <si>
    <t xml:space="preserve">Una fila por requisito. Si un requisito tiene varias historias, usa una fila por combinación.</t>
  </si>
  <si>
    <t xml:space="preserve">Hoja Huecos</t>
  </si>
  <si>
    <t xml:space="preserve">Registro de los vacíos detectados, su causa y la acción correctiva aplicada.</t>
  </si>
  <si>
    <t xml:space="preserve">Hoja Cobertura</t>
  </si>
  <si>
    <t xml:space="preserve">Indicadores automáticos de cobertura de la matriz.</t>
  </si>
  <si>
    <t xml:space="preserve">Hoja Catálogos</t>
  </si>
  <si>
    <t xml:space="preserve">Listas desplegables. Puedes agregar valores allí si tu proyecto lo requiere.</t>
  </si>
  <si>
    <t xml:space="preserve">Códigos</t>
  </si>
  <si>
    <t xml:space="preserve">Respeta los prefijos del instructivo: PRO, OBJ, STK, RF, RNF, RN, HU, CU, BPM, DSQ, DAC, CMP, API, CP, EV.</t>
  </si>
  <si>
    <t xml:space="preserve">MATRIZ DE TRAZABILIDAD</t>
  </si>
  <si>
    <t xml:space="preserve">Alcance de esta version: las 12 historias que cuentan con modelado en P03 y P04. Las columnas de prueba y evidencia se diligencian cuando se elabore la P06.</t>
  </si>
  <si>
    <t xml:space="preserve">N.°</t>
  </si>
  <si>
    <t xml:space="preserve">Problema</t>
  </si>
  <si>
    <t xml:space="preserve">Objetivo</t>
  </si>
  <si>
    <t xml:space="preserve">Stakeholder</t>
  </si>
  <si>
    <t xml:space="preserve">Requisito</t>
  </si>
  <si>
    <t xml:space="preserve">Título del requisito</t>
  </si>
  <si>
    <t xml:space="preserve">Tipo</t>
  </si>
  <si>
    <t xml:space="preserve">Regla de negocio</t>
  </si>
  <si>
    <t xml:space="preserve">Historia (HU)</t>
  </si>
  <si>
    <t xml:space="preserve">Proceso BPMN</t>
  </si>
  <si>
    <t xml:space="preserve">D. secuencia</t>
  </si>
  <si>
    <t xml:space="preserve">D. actividades</t>
  </si>
  <si>
    <t xml:space="preserve">Componente</t>
  </si>
  <si>
    <t xml:space="preserve">Endpoint</t>
  </si>
  <si>
    <t xml:space="preserve">Caso de prueba</t>
  </si>
  <si>
    <t xml:space="preserve">Resultado prueba</t>
  </si>
  <si>
    <t xml:space="preserve">Evidencia</t>
  </si>
  <si>
    <t xml:space="preserve">Ubicación de la evidencia</t>
  </si>
  <si>
    <t xml:space="preserve">Estado de implementación</t>
  </si>
  <si>
    <t xml:space="preserve">Cobertura</t>
  </si>
  <si>
    <t xml:space="preserve">PRO-01</t>
  </si>
  <si>
    <t xml:space="preserve">OBJ-02</t>
  </si>
  <si>
    <t xml:space="preserve">STK-01, STK-02, STK-03</t>
  </si>
  <si>
    <t xml:space="preserve">RF-02</t>
  </si>
  <si>
    <t xml:space="preserve">Autenticacion y direccionamiento por rol</t>
  </si>
  <si>
    <t xml:space="preserve">RF</t>
  </si>
  <si>
    <t xml:space="preserve">RN-09</t>
  </si>
  <si>
    <t xml:space="preserve">HU-03</t>
  </si>
  <si>
    <t xml:space="preserve">DSQ-01</t>
  </si>
  <si>
    <t xml:space="preserve">CMP-01, CMP-02, CMP-03, CMP-04, CMP-05</t>
  </si>
  <si>
    <t xml:space="preserve">API-01, API-02</t>
  </si>
  <si>
    <t xml:space="preserve">Pendiente</t>
  </si>
  <si>
    <t xml:space="preserve">Sin iniciar</t>
  </si>
  <si>
    <t xml:space="preserve">Parcial</t>
  </si>
  <si>
    <t xml:space="preserve">OBJ-03</t>
  </si>
  <si>
    <t xml:space="preserve">STK-01, STK-02</t>
  </si>
  <si>
    <t xml:space="preserve">RF-11</t>
  </si>
  <si>
    <t xml:space="preserve">Registro de entrada de vehiculos</t>
  </si>
  <si>
    <t xml:space="preserve">RN-01, RN-03, RN-04, RN-10</t>
  </si>
  <si>
    <t xml:space="preserve">HU-19</t>
  </si>
  <si>
    <t xml:space="preserve">BPM-01</t>
  </si>
  <si>
    <t xml:space="preserve">DSQ-02</t>
  </si>
  <si>
    <t xml:space="preserve">DAC-01</t>
  </si>
  <si>
    <t xml:space="preserve">API-05, API-06</t>
  </si>
  <si>
    <t xml:space="preserve">PRO-03</t>
  </si>
  <si>
    <t xml:space="preserve">RN-01, RN-03, RN-04, RN-08, RN-10, RN-15</t>
  </si>
  <si>
    <t xml:space="preserve">HU-20</t>
  </si>
  <si>
    <t xml:space="preserve">PRO-02</t>
  </si>
  <si>
    <t xml:space="preserve">OBJ-05</t>
  </si>
  <si>
    <t xml:space="preserve">RF-12</t>
  </si>
  <si>
    <t xml:space="preserve">Registro de salida y liquidacion automatica</t>
  </si>
  <si>
    <t xml:space="preserve">RN-02, RN-03, RN-10, RN-11, RN-12, RN-14, RN-15</t>
  </si>
  <si>
    <t xml:space="preserve">HU-21</t>
  </si>
  <si>
    <t xml:space="preserve">BPM-02</t>
  </si>
  <si>
    <t xml:space="preserve">DSQ-03</t>
  </si>
  <si>
    <t xml:space="preserve">DAC-02</t>
  </si>
  <si>
    <t xml:space="preserve">API-07, API-08</t>
  </si>
  <si>
    <t xml:space="preserve">PRO-04</t>
  </si>
  <si>
    <t xml:space="preserve">STK-01</t>
  </si>
  <si>
    <t xml:space="preserve">RF-14</t>
  </si>
  <si>
    <t xml:space="preserve">Registro de pagos y gestion de cartera</t>
  </si>
  <si>
    <t xml:space="preserve">RN-11, RN-12, RN-13</t>
  </si>
  <si>
    <t xml:space="preserve">HU-24</t>
  </si>
  <si>
    <t xml:space="preserve">BPM-03</t>
  </si>
  <si>
    <t xml:space="preserve">DSQ-04</t>
  </si>
  <si>
    <t xml:space="preserve">DAC-03</t>
  </si>
  <si>
    <t xml:space="preserve">API-10</t>
  </si>
  <si>
    <t xml:space="preserve">RN-11, RN-12</t>
  </si>
  <si>
    <t xml:space="preserve">HU-25</t>
  </si>
  <si>
    <t xml:space="preserve">API-09</t>
  </si>
  <si>
    <t xml:space="preserve">RN-12, RNF-05, RNF-07</t>
  </si>
  <si>
    <t xml:space="preserve">HU-27</t>
  </si>
  <si>
    <t xml:space="preserve">STK-01, STK-03</t>
  </si>
  <si>
    <t xml:space="preserve">RF-21</t>
  </si>
  <si>
    <t xml:space="preserve">Emision y ciclo de vida del codigo QR del vehiculo</t>
  </si>
  <si>
    <t xml:space="preserve">RN-16, RN-17</t>
  </si>
  <si>
    <t xml:space="preserve">HU-41</t>
  </si>
  <si>
    <t xml:space="preserve">DAC-04</t>
  </si>
  <si>
    <t xml:space="preserve">API-11</t>
  </si>
  <si>
    <t xml:space="preserve">RN-07, RN-16, RN-17</t>
  </si>
  <si>
    <t xml:space="preserve">HU-42</t>
  </si>
  <si>
    <t xml:space="preserve">API-11, API-12</t>
  </si>
  <si>
    <t xml:space="preserve">RF-22</t>
  </si>
  <si>
    <t xml:space="preserve">Registro de movimientos mediante lector de codigo QR</t>
  </si>
  <si>
    <t xml:space="preserve">RN-01, RN-03, RN-04, RN-10, RN-16</t>
  </si>
  <si>
    <t xml:space="preserve">HU-43</t>
  </si>
  <si>
    <t xml:space="preserve">CMP-01, CMP-02, CMP-03, CMP-04, CMP-05, EXT-01</t>
  </si>
  <si>
    <t xml:space="preserve">API-03, API-04, API-05, API-06</t>
  </si>
  <si>
    <t xml:space="preserve">RN-03, RN-10, RN-13, RN-14, RN-15, RN-16</t>
  </si>
  <si>
    <t xml:space="preserve">HU-44</t>
  </si>
  <si>
    <t xml:space="preserve">API-03, API-07, API-08</t>
  </si>
  <si>
    <t xml:space="preserve">RN-10, RN-16</t>
  </si>
  <si>
    <t xml:space="preserve">HU-45</t>
  </si>
  <si>
    <t xml:space="preserve">BPM-01, BPM-02</t>
  </si>
  <si>
    <t xml:space="preserve">DSQ-02, DSQ-03</t>
  </si>
  <si>
    <t xml:space="preserve">API-06, API-08</t>
  </si>
  <si>
    <t xml:space="preserve">ANÁLISIS DE HUECOS DE TRAZABILIDAD</t>
  </si>
  <si>
    <t xml:space="preserve">Huecos detectados al cruzar el backlog v3.2 con P03, P04 y la Formulacion del proyecto.</t>
  </si>
  <si>
    <t xml:space="preserve">Tipo de hueco</t>
  </si>
  <si>
    <t xml:space="preserve">Elemento afectado</t>
  </si>
  <si>
    <t xml:space="preserve">Descripción del vacío</t>
  </si>
  <si>
    <t xml:space="preserve">Causa</t>
  </si>
  <si>
    <t xml:space="preserve">Acción correctiva</t>
  </si>
  <si>
    <t xml:space="preserve">Estado</t>
  </si>
  <si>
    <t xml:space="preserve">Historia sin prueba</t>
  </si>
  <si>
    <t xml:space="preserve">RF-02 / HU-03</t>
  </si>
  <si>
    <t xml:space="preserve">El requisito tiene historia y modelado, pero ninguna historia de la matriz tiene caso de prueba asociado.</t>
  </si>
  <si>
    <t xml:space="preserve">Los casos de prueba se elaboran en la plantilla P06, aun no desarrollada.</t>
  </si>
  <si>
    <t xml:space="preserve">Diligenciar las columnas Caso de prueba y Resultado al entregar la P06.</t>
  </si>
  <si>
    <t xml:space="preserve">Abierto</t>
  </si>
  <si>
    <t xml:space="preserve">RF-11 / HU-19, HU-20</t>
  </si>
  <si>
    <t xml:space="preserve">Las dos historias de registro de entrada carecen de caso de prueba.</t>
  </si>
  <si>
    <t xml:space="preserve">RF-12 / HU-21</t>
  </si>
  <si>
    <t xml:space="preserve">La historia de salida y liquidacion, que concentra el calculo del cobro, carece de caso de prueba.</t>
  </si>
  <si>
    <t xml:space="preserve">Priorizar los casos de RN-14 sobre DAC-02, que es la logica de mayor riesgo del proyecto.</t>
  </si>
  <si>
    <t xml:space="preserve">RF-14 / HU-24, HU-25, HU-27</t>
  </si>
  <si>
    <t xml:space="preserve">Las historias de pagos y cartera carecen de caso de prueba.</t>
  </si>
  <si>
    <t xml:space="preserve">RF-21 / HU-41, HU-42</t>
  </si>
  <si>
    <t xml:space="preserve">Las historias del ciclo de vida del codigo QR carecen de caso de prueba.</t>
  </si>
  <si>
    <t xml:space="preserve">RF-22 / HU-43, HU-44, HU-45</t>
  </si>
  <si>
    <t xml:space="preserve">Las historias de registro por lector de codigo QR carecen de caso de prueba.</t>
  </si>
  <si>
    <t xml:space="preserve">Incluir el caso de respaldo manual de HU-45, que es el que sostiene la operacion ante fallo del lector.</t>
  </si>
  <si>
    <t xml:space="preserve">Prueba sin evidencia</t>
  </si>
  <si>
    <t xml:space="preserve">Los 22 requisitos funcionales</t>
  </si>
  <si>
    <t xml:space="preserve">Ninguna fila registra evidencia ni ubicacion, porque no se ha ejecutado ninguna prueba.</t>
  </si>
  <si>
    <t xml:space="preserve">El proyecto se encuentra en fase de diseno; no hay ejecucion ni repositorio de evidencias.</t>
  </si>
  <si>
    <t xml:space="preserve">Registrar el codigo EV y su ubicacion a medida que se ejecuten las pruebas de la P06.</t>
  </si>
  <si>
    <t xml:space="preserve">Diagrama sin historia</t>
  </si>
  <si>
    <t xml:space="preserve">HU-41, HU-42 / DAC-04</t>
  </si>
  <si>
    <t xml:space="preserve">Las dos historias del codigo QR tienen diagrama de actividades pero no diagrama de secuencia propio.</t>
  </si>
  <si>
    <t xml:space="preserve">P04 declara que su cadena de llamadas reproduce la de DSQ-04 y no se modelo por separado.</t>
  </si>
  <si>
    <t xml:space="preserve">Elaborar el diagrama de secuencia o dejar constancia formal de que se reutiliza DSQ-04.</t>
  </si>
  <si>
    <t xml:space="preserve">Otro</t>
  </si>
  <si>
    <t xml:space="preserve">RF-01, RF-03 a RF-10, RF-13, RF-15 a RF-20</t>
  </si>
  <si>
    <t xml:space="preserve">Dieciseis requisitos funcionales no aparecen en la matriz porque sus historias no tienen modelado.</t>
  </si>
  <si>
    <t xml:space="preserve">P04 acoto el modelado a las historias de la operacion diaria; configuracion, reportes y datos personales quedaron fuera.</t>
  </si>
  <si>
    <t xml:space="preserve">Incorporarlos a la matriz cuando se modelen, o sustentar por escrito por que no requieren modelado propio.</t>
  </si>
  <si>
    <t xml:space="preserve">HU-26</t>
  </si>
  <si>
    <t xml:space="preserve">El titulo de HU-26 no coincide entre artefactos: en el backlog es consultar el historial de pagos y en P03 y P04 es anular un pago con motivo.</t>
  </si>
  <si>
    <t xml:space="preserve">La historia se renombro en el backlog sin actualizar los documentos de modelado.</t>
  </si>
  <si>
    <t xml:space="preserve">Unificar el titulo en P03 y P04 conforme al backlog v3.2 en la proxima revision.</t>
  </si>
  <si>
    <t xml:space="preserve">API-01 a API-12</t>
  </si>
  <si>
    <t xml:space="preserve">El catalogo de endpoints esta definido pero no consolidado como rutas definitivas.</t>
  </si>
  <si>
    <t xml:space="preserve">La decision del motor de base de datos y del lenguaje de servidor sigue abierta en ADR-008.</t>
  </si>
  <si>
    <t xml:space="preserve">Confirmar las rutas al cerrar ADR-008 y actualizar la columna Endpoint de esta matriz.</t>
  </si>
  <si>
    <t xml:space="preserve">El acuse que el sistema devuelve al lector se limito en el diagrama a no exponer datos del vehiculo, pero eso no figura como criterio de aceptacion.</t>
  </si>
  <si>
    <t xml:space="preserve">La restriccion surgio durante el modelado de P04 y no se traslado al backlog.</t>
  </si>
  <si>
    <t xml:space="preserve">Agregar el criterio de aceptacion a HU-43 en la proxima version del backlog.</t>
  </si>
  <si>
    <t xml:space="preserve">INDICADORES DE COBERTURA</t>
  </si>
  <si>
    <t xml:space="preserve">Valores calculados automáticamente desde la hoja Matriz.</t>
  </si>
  <si>
    <t xml:space="preserve">Total de filas registradas</t>
  </si>
  <si>
    <t xml:space="preserve">Requisitos con historia asociada</t>
  </si>
  <si>
    <t xml:space="preserve">Requisitos con modelado (BPMN, secuencia o actividades)</t>
  </si>
  <si>
    <t xml:space="preserve">Requisitos con caso de prueba</t>
  </si>
  <si>
    <t xml:space="preserve">Requisitos con evidencia registrada</t>
  </si>
  <si>
    <t xml:space="preserve">Cobertura completa</t>
  </si>
  <si>
    <t xml:space="preserve">Cobertura parcial</t>
  </si>
  <si>
    <t xml:space="preserve">% de requisitos con historia</t>
  </si>
  <si>
    <t xml:space="preserve">% de requisitos con prueba</t>
  </si>
  <si>
    <t xml:space="preserve">Huecos abiertos</t>
  </si>
  <si>
    <t xml:space="preserve">Tipo de requisito</t>
  </si>
  <si>
    <t xml:space="preserve">Resultado de prueba</t>
  </si>
  <si>
    <t xml:space="preserve">Completa</t>
  </si>
  <si>
    <t xml:space="preserve">RNF</t>
  </si>
  <si>
    <t xml:space="preserve">En ejecución</t>
  </si>
  <si>
    <t xml:space="preserve">En desarrollo</t>
  </si>
  <si>
    <t xml:space="preserve">Regla</t>
  </si>
  <si>
    <t xml:space="preserve">Aprobado</t>
  </si>
  <si>
    <t xml:space="preserve">Implementado</t>
  </si>
  <si>
    <t xml:space="preserve">Restricción</t>
  </si>
  <si>
    <t xml:space="preserve">Fallido</t>
  </si>
  <si>
    <t xml:space="preserve">Bloqueado</t>
  </si>
  <si>
    <t xml:space="preserve">Dato</t>
  </si>
  <si>
    <t xml:space="preserve">Interfaz</t>
  </si>
  <si>
    <t xml:space="preserve">Rendimiento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</si>
</sst>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B4332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7A7A7A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AF3EA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CC8"/>
      </left>
      <right style="thin">
        <color rgb="FFC8DCC8"/>
      </right>
      <top style="thin">
        <color rgb="FFC8DCC8"/>
      </top>
      <bottom style="thin">
        <color rgb="FFC8D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9E6"/>
      <rgbColor rgb="FFEAF3EA"/>
      <rgbColor rgb="FF660066"/>
      <rgbColor rgb="FFFF8080"/>
      <rgbColor rgb="FF0066CC"/>
      <rgbColor rgb="FFC8DC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</row>
    <row r="5" customFormat="false" ht="30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30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30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</row>
    <row r="8" customFormat="false" ht="30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30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</row>
    <row r="10" customFormat="false" ht="30" hidden="false" customHeight="true" outlineLevel="0" collapsed="false">
      <c r="A10" s="4" t="s">
        <v>14</v>
      </c>
      <c r="B10" s="5" t="s">
        <v>15</v>
      </c>
      <c r="C10" s="5"/>
      <c r="D10" s="5"/>
      <c r="E10" s="5"/>
      <c r="F10" s="5"/>
    </row>
    <row r="11" customFormat="false" ht="30" hidden="false" customHeight="true" outlineLevel="0" collapsed="false">
      <c r="A11" s="4" t="s">
        <v>16</v>
      </c>
      <c r="B11" s="5" t="s">
        <v>17</v>
      </c>
      <c r="C11" s="5"/>
      <c r="D11" s="5"/>
      <c r="E11" s="5"/>
      <c r="F11" s="5"/>
    </row>
  </sheetData>
  <mergeCells count="10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0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32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3" min="10" style="1" width="1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0"/>
    <col collapsed="false" customWidth="true" hidden="false" outlineLevel="0" max="18" min="18" style="1" width="30"/>
    <col collapsed="false" customWidth="true" hidden="false" outlineLevel="0" max="19" min="19" style="1" width="17"/>
    <col collapsed="false" customWidth="true" hidden="false" outlineLevel="0" max="20" min="20" style="1" width="12"/>
  </cols>
  <sheetData>
    <row r="1" customFormat="false" ht="30" hidden="false" customHeight="true" outlineLevel="0" collapsed="false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9.5" hidden="false" customHeight="true" outlineLevel="0" collapsed="false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33.75" hidden="false" customHeight="tru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  <c r="S3" s="6" t="s">
        <v>38</v>
      </c>
      <c r="T3" s="6" t="s">
        <v>39</v>
      </c>
    </row>
    <row r="4" customFormat="false" ht="30" hidden="false" customHeight="true" outlineLevel="0" collapsed="false">
      <c r="A4" s="7" t="n">
        <v>1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/>
      <c r="K4" s="7" t="s">
        <v>48</v>
      </c>
      <c r="L4" s="7"/>
      <c r="M4" s="7" t="s">
        <v>49</v>
      </c>
      <c r="N4" s="7" t="s">
        <v>50</v>
      </c>
      <c r="O4" s="7"/>
      <c r="P4" s="7" t="s">
        <v>51</v>
      </c>
      <c r="Q4" s="7"/>
      <c r="R4" s="7"/>
      <c r="S4" s="7" t="s">
        <v>52</v>
      </c>
      <c r="T4" s="7" t="s">
        <v>53</v>
      </c>
    </row>
    <row r="5" customFormat="false" ht="30" hidden="false" customHeight="true" outlineLevel="0" collapsed="false">
      <c r="A5" s="7" t="n">
        <v>2</v>
      </c>
      <c r="B5" s="7" t="s">
        <v>40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45</v>
      </c>
      <c r="H5" s="7" t="s">
        <v>58</v>
      </c>
      <c r="I5" s="7" t="s">
        <v>59</v>
      </c>
      <c r="J5" s="7" t="s">
        <v>60</v>
      </c>
      <c r="K5" s="7" t="s">
        <v>61</v>
      </c>
      <c r="L5" s="7" t="s">
        <v>62</v>
      </c>
      <c r="M5" s="7" t="s">
        <v>49</v>
      </c>
      <c r="N5" s="7" t="s">
        <v>63</v>
      </c>
      <c r="O5" s="7"/>
      <c r="P5" s="7" t="s">
        <v>51</v>
      </c>
      <c r="Q5" s="7"/>
      <c r="R5" s="7"/>
      <c r="S5" s="7" t="s">
        <v>52</v>
      </c>
      <c r="T5" s="7" t="s">
        <v>53</v>
      </c>
    </row>
    <row r="6" customFormat="false" ht="30" hidden="false" customHeight="true" outlineLevel="0" collapsed="false">
      <c r="A6" s="7" t="n">
        <v>3</v>
      </c>
      <c r="B6" s="7" t="s">
        <v>64</v>
      </c>
      <c r="C6" s="7" t="s">
        <v>54</v>
      </c>
      <c r="D6" s="7" t="s">
        <v>55</v>
      </c>
      <c r="E6" s="7" t="s">
        <v>56</v>
      </c>
      <c r="F6" s="7" t="s">
        <v>57</v>
      </c>
      <c r="G6" s="7" t="s">
        <v>45</v>
      </c>
      <c r="H6" s="7" t="s">
        <v>65</v>
      </c>
      <c r="I6" s="7" t="s">
        <v>66</v>
      </c>
      <c r="J6" s="7" t="s">
        <v>60</v>
      </c>
      <c r="K6" s="7" t="s">
        <v>61</v>
      </c>
      <c r="L6" s="7" t="s">
        <v>62</v>
      </c>
      <c r="M6" s="7" t="s">
        <v>49</v>
      </c>
      <c r="N6" s="7" t="s">
        <v>63</v>
      </c>
      <c r="O6" s="7"/>
      <c r="P6" s="7" t="s">
        <v>51</v>
      </c>
      <c r="Q6" s="7"/>
      <c r="R6" s="7"/>
      <c r="S6" s="7" t="s">
        <v>52</v>
      </c>
      <c r="T6" s="7" t="s">
        <v>53</v>
      </c>
    </row>
    <row r="7" customFormat="false" ht="30" hidden="false" customHeight="true" outlineLevel="0" collapsed="false">
      <c r="A7" s="7" t="n">
        <v>4</v>
      </c>
      <c r="B7" s="7" t="s">
        <v>67</v>
      </c>
      <c r="C7" s="7" t="s">
        <v>68</v>
      </c>
      <c r="D7" s="7" t="s">
        <v>55</v>
      </c>
      <c r="E7" s="7" t="s">
        <v>69</v>
      </c>
      <c r="F7" s="7" t="s">
        <v>70</v>
      </c>
      <c r="G7" s="7" t="s">
        <v>45</v>
      </c>
      <c r="H7" s="7" t="s">
        <v>71</v>
      </c>
      <c r="I7" s="7" t="s">
        <v>72</v>
      </c>
      <c r="J7" s="7" t="s">
        <v>73</v>
      </c>
      <c r="K7" s="7" t="s">
        <v>74</v>
      </c>
      <c r="L7" s="7" t="s">
        <v>75</v>
      </c>
      <c r="M7" s="7" t="s">
        <v>49</v>
      </c>
      <c r="N7" s="7" t="s">
        <v>76</v>
      </c>
      <c r="O7" s="7"/>
      <c r="P7" s="7" t="s">
        <v>51</v>
      </c>
      <c r="Q7" s="7"/>
      <c r="R7" s="7"/>
      <c r="S7" s="7" t="s">
        <v>52</v>
      </c>
      <c r="T7" s="7" t="s">
        <v>53</v>
      </c>
    </row>
    <row r="8" customFormat="false" ht="30" hidden="false" customHeight="true" outlineLevel="0" collapsed="false">
      <c r="A8" s="7" t="n">
        <v>5</v>
      </c>
      <c r="B8" s="7" t="s">
        <v>77</v>
      </c>
      <c r="C8" s="7" t="s">
        <v>68</v>
      </c>
      <c r="D8" s="7" t="s">
        <v>78</v>
      </c>
      <c r="E8" s="7" t="s">
        <v>79</v>
      </c>
      <c r="F8" s="7" t="s">
        <v>80</v>
      </c>
      <c r="G8" s="7" t="s">
        <v>45</v>
      </c>
      <c r="H8" s="7" t="s">
        <v>81</v>
      </c>
      <c r="I8" s="7" t="s">
        <v>82</v>
      </c>
      <c r="J8" s="7" t="s">
        <v>83</v>
      </c>
      <c r="K8" s="7" t="s">
        <v>84</v>
      </c>
      <c r="L8" s="7" t="s">
        <v>85</v>
      </c>
      <c r="M8" s="7" t="s">
        <v>49</v>
      </c>
      <c r="N8" s="7" t="s">
        <v>86</v>
      </c>
      <c r="O8" s="7"/>
      <c r="P8" s="7" t="s">
        <v>51</v>
      </c>
      <c r="Q8" s="7"/>
      <c r="R8" s="7"/>
      <c r="S8" s="7" t="s">
        <v>52</v>
      </c>
      <c r="T8" s="7" t="s">
        <v>53</v>
      </c>
    </row>
    <row r="9" customFormat="false" ht="30" hidden="false" customHeight="true" outlineLevel="0" collapsed="false">
      <c r="A9" s="7" t="n">
        <v>6</v>
      </c>
      <c r="B9" s="7" t="s">
        <v>77</v>
      </c>
      <c r="C9" s="7" t="s">
        <v>68</v>
      </c>
      <c r="D9" s="7" t="s">
        <v>78</v>
      </c>
      <c r="E9" s="7" t="s">
        <v>79</v>
      </c>
      <c r="F9" s="7" t="s">
        <v>80</v>
      </c>
      <c r="G9" s="7" t="s">
        <v>45</v>
      </c>
      <c r="H9" s="7" t="s">
        <v>87</v>
      </c>
      <c r="I9" s="7" t="s">
        <v>88</v>
      </c>
      <c r="J9" s="7" t="s">
        <v>83</v>
      </c>
      <c r="K9" s="7" t="s">
        <v>84</v>
      </c>
      <c r="L9" s="7" t="s">
        <v>85</v>
      </c>
      <c r="M9" s="7" t="s">
        <v>49</v>
      </c>
      <c r="N9" s="7" t="s">
        <v>89</v>
      </c>
      <c r="O9" s="7"/>
      <c r="P9" s="7" t="s">
        <v>51</v>
      </c>
      <c r="Q9" s="7"/>
      <c r="R9" s="7"/>
      <c r="S9" s="7" t="s">
        <v>52</v>
      </c>
      <c r="T9" s="7" t="s">
        <v>53</v>
      </c>
    </row>
    <row r="10" customFormat="false" ht="30" hidden="false" customHeight="true" outlineLevel="0" collapsed="false">
      <c r="A10" s="7" t="n">
        <v>7</v>
      </c>
      <c r="B10" s="7" t="s">
        <v>77</v>
      </c>
      <c r="C10" s="7" t="s">
        <v>68</v>
      </c>
      <c r="D10" s="7" t="s">
        <v>78</v>
      </c>
      <c r="E10" s="7" t="s">
        <v>79</v>
      </c>
      <c r="F10" s="7" t="s">
        <v>80</v>
      </c>
      <c r="G10" s="7" t="s">
        <v>45</v>
      </c>
      <c r="H10" s="7" t="s">
        <v>90</v>
      </c>
      <c r="I10" s="7" t="s">
        <v>91</v>
      </c>
      <c r="J10" s="7" t="s">
        <v>83</v>
      </c>
      <c r="K10" s="7" t="s">
        <v>84</v>
      </c>
      <c r="L10" s="7" t="s">
        <v>85</v>
      </c>
      <c r="M10" s="7" t="s">
        <v>49</v>
      </c>
      <c r="N10" s="7" t="s">
        <v>89</v>
      </c>
      <c r="O10" s="7"/>
      <c r="P10" s="7" t="s">
        <v>51</v>
      </c>
      <c r="Q10" s="7"/>
      <c r="R10" s="7"/>
      <c r="S10" s="7" t="s">
        <v>52</v>
      </c>
      <c r="T10" s="7" t="s">
        <v>53</v>
      </c>
    </row>
    <row r="11" customFormat="false" ht="30" hidden="false" customHeight="true" outlineLevel="0" collapsed="false">
      <c r="A11" s="7" t="n">
        <v>8</v>
      </c>
      <c r="B11" s="7" t="s">
        <v>40</v>
      </c>
      <c r="C11" s="7" t="s">
        <v>54</v>
      </c>
      <c r="D11" s="7" t="s">
        <v>92</v>
      </c>
      <c r="E11" s="7" t="s">
        <v>93</v>
      </c>
      <c r="F11" s="7" t="s">
        <v>94</v>
      </c>
      <c r="G11" s="7" t="s">
        <v>45</v>
      </c>
      <c r="H11" s="7" t="s">
        <v>95</v>
      </c>
      <c r="I11" s="7" t="s">
        <v>96</v>
      </c>
      <c r="J11" s="7" t="s">
        <v>60</v>
      </c>
      <c r="K11" s="7"/>
      <c r="L11" s="7" t="s">
        <v>97</v>
      </c>
      <c r="M11" s="7" t="s">
        <v>49</v>
      </c>
      <c r="N11" s="7" t="s">
        <v>98</v>
      </c>
      <c r="O11" s="7"/>
      <c r="P11" s="7" t="s">
        <v>51</v>
      </c>
      <c r="Q11" s="7"/>
      <c r="R11" s="7"/>
      <c r="S11" s="7" t="s">
        <v>52</v>
      </c>
      <c r="T11" s="7" t="s">
        <v>53</v>
      </c>
    </row>
    <row r="12" customFormat="false" ht="30" hidden="false" customHeight="true" outlineLevel="0" collapsed="false">
      <c r="A12" s="7" t="n">
        <v>9</v>
      </c>
      <c r="B12" s="7" t="s">
        <v>40</v>
      </c>
      <c r="C12" s="7" t="s">
        <v>54</v>
      </c>
      <c r="D12" s="7" t="s">
        <v>92</v>
      </c>
      <c r="E12" s="7" t="s">
        <v>93</v>
      </c>
      <c r="F12" s="7" t="s">
        <v>94</v>
      </c>
      <c r="G12" s="7" t="s">
        <v>45</v>
      </c>
      <c r="H12" s="7" t="s">
        <v>99</v>
      </c>
      <c r="I12" s="7" t="s">
        <v>100</v>
      </c>
      <c r="J12" s="7" t="s">
        <v>60</v>
      </c>
      <c r="K12" s="7"/>
      <c r="L12" s="7" t="s">
        <v>97</v>
      </c>
      <c r="M12" s="7" t="s">
        <v>49</v>
      </c>
      <c r="N12" s="7" t="s">
        <v>101</v>
      </c>
      <c r="O12" s="7"/>
      <c r="P12" s="7" t="s">
        <v>51</v>
      </c>
      <c r="Q12" s="7"/>
      <c r="R12" s="7"/>
      <c r="S12" s="7" t="s">
        <v>52</v>
      </c>
      <c r="T12" s="7" t="s">
        <v>53</v>
      </c>
    </row>
    <row r="13" customFormat="false" ht="30" hidden="false" customHeight="true" outlineLevel="0" collapsed="false">
      <c r="A13" s="7" t="n">
        <v>10</v>
      </c>
      <c r="B13" s="7" t="s">
        <v>40</v>
      </c>
      <c r="C13" s="7" t="s">
        <v>54</v>
      </c>
      <c r="D13" s="7" t="s">
        <v>55</v>
      </c>
      <c r="E13" s="7" t="s">
        <v>102</v>
      </c>
      <c r="F13" s="7" t="s">
        <v>103</v>
      </c>
      <c r="G13" s="7" t="s">
        <v>45</v>
      </c>
      <c r="H13" s="7" t="s">
        <v>104</v>
      </c>
      <c r="I13" s="7" t="s">
        <v>105</v>
      </c>
      <c r="J13" s="7" t="s">
        <v>60</v>
      </c>
      <c r="K13" s="7" t="s">
        <v>61</v>
      </c>
      <c r="L13" s="7" t="s">
        <v>62</v>
      </c>
      <c r="M13" s="7" t="s">
        <v>106</v>
      </c>
      <c r="N13" s="7" t="s">
        <v>107</v>
      </c>
      <c r="O13" s="7"/>
      <c r="P13" s="7" t="s">
        <v>51</v>
      </c>
      <c r="Q13" s="7"/>
      <c r="R13" s="7"/>
      <c r="S13" s="7" t="s">
        <v>52</v>
      </c>
      <c r="T13" s="7" t="s">
        <v>53</v>
      </c>
    </row>
    <row r="14" customFormat="false" ht="30" hidden="false" customHeight="true" outlineLevel="0" collapsed="false">
      <c r="A14" s="7" t="n">
        <v>11</v>
      </c>
      <c r="B14" s="7" t="s">
        <v>67</v>
      </c>
      <c r="C14" s="7" t="s">
        <v>68</v>
      </c>
      <c r="D14" s="7" t="s">
        <v>55</v>
      </c>
      <c r="E14" s="7" t="s">
        <v>102</v>
      </c>
      <c r="F14" s="7" t="s">
        <v>103</v>
      </c>
      <c r="G14" s="7" t="s">
        <v>45</v>
      </c>
      <c r="H14" s="7" t="s">
        <v>108</v>
      </c>
      <c r="I14" s="7" t="s">
        <v>109</v>
      </c>
      <c r="J14" s="7" t="s">
        <v>73</v>
      </c>
      <c r="K14" s="7" t="s">
        <v>74</v>
      </c>
      <c r="L14" s="7" t="s">
        <v>62</v>
      </c>
      <c r="M14" s="7" t="s">
        <v>106</v>
      </c>
      <c r="N14" s="7" t="s">
        <v>110</v>
      </c>
      <c r="O14" s="7"/>
      <c r="P14" s="7" t="s">
        <v>51</v>
      </c>
      <c r="Q14" s="7"/>
      <c r="R14" s="7"/>
      <c r="S14" s="7" t="s">
        <v>52</v>
      </c>
      <c r="T14" s="7" t="s">
        <v>53</v>
      </c>
    </row>
    <row r="15" customFormat="false" ht="30" hidden="false" customHeight="true" outlineLevel="0" collapsed="false">
      <c r="A15" s="7" t="n">
        <v>12</v>
      </c>
      <c r="B15" s="7" t="s">
        <v>40</v>
      </c>
      <c r="C15" s="7" t="s">
        <v>54</v>
      </c>
      <c r="D15" s="7" t="s">
        <v>55</v>
      </c>
      <c r="E15" s="7" t="s">
        <v>102</v>
      </c>
      <c r="F15" s="7" t="s">
        <v>103</v>
      </c>
      <c r="G15" s="7" t="s">
        <v>45</v>
      </c>
      <c r="H15" s="7" t="s">
        <v>111</v>
      </c>
      <c r="I15" s="7" t="s">
        <v>112</v>
      </c>
      <c r="J15" s="7" t="s">
        <v>113</v>
      </c>
      <c r="K15" s="7" t="s">
        <v>114</v>
      </c>
      <c r="L15" s="7" t="s">
        <v>62</v>
      </c>
      <c r="M15" s="7" t="s">
        <v>49</v>
      </c>
      <c r="N15" s="7" t="s">
        <v>115</v>
      </c>
      <c r="O15" s="7"/>
      <c r="P15" s="7" t="s">
        <v>51</v>
      </c>
      <c r="Q15" s="7"/>
      <c r="R15" s="7"/>
      <c r="S15" s="7" t="s">
        <v>52</v>
      </c>
      <c r="T15" s="7" t="s">
        <v>53</v>
      </c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customFormat="false" ht="1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customFormat="false" ht="1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customFormat="false" ht="1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customFormat="false" ht="1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customFormat="false" ht="1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customFormat="false" ht="1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customFormat="false" ht="1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customFormat="false" ht="1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customFormat="false" ht="1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customFormat="false" ht="1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customFormat="false" ht="1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customFormat="false" ht="1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customFormat="false" ht="1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customFormat="false" ht="1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customFormat="false" ht="1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customFormat="false" ht="1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customFormat="false" ht="1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customFormat="false" ht="1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customFormat="false" ht="1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customFormat="false" ht="1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customFormat="false" ht="1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customFormat="false" ht="1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customFormat="false" ht="1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customFormat="false" ht="1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customFormat="false" ht="1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customFormat="false" ht="1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customFormat="false" ht="1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customFormat="false" ht="1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customFormat="false" ht="1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customFormat="false" ht="1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customFormat="false" ht="1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customFormat="false" ht="1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customFormat="false" ht="1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customFormat="false" ht="1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customFormat="false" ht="1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customFormat="false" ht="1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customFormat="false" ht="1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customFormat="false" ht="1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customFormat="false" ht="1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customFormat="false" ht="1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customFormat="false" ht="1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customFormat="false" ht="1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customFormat="false" ht="1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customFormat="false" ht="1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customFormat="false" ht="1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customFormat="false" ht="1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customFormat="false" ht="1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customFormat="false" ht="1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customFormat="false" ht="1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customFormat="false" ht="1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customFormat="false" ht="1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customFormat="false" ht="1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customFormat="false" ht="1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customFormat="false" ht="1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customFormat="false" ht="1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customFormat="false" ht="1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customFormat="false" ht="1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</sheetData>
  <mergeCells count="2">
    <mergeCell ref="A1:T1"/>
    <mergeCell ref="A2:T2"/>
  </mergeCells>
  <dataValidations count="4">
    <dataValidation allowBlank="true" errorStyle="stop" operator="between" showDropDown="false" showErrorMessage="false" showInputMessage="false" sqref="G4:G103" type="list">
      <formula1>Catalogos!$A$2:$A$8</formula1>
      <formula2>0</formula2>
    </dataValidation>
    <dataValidation allowBlank="true" errorStyle="stop" operator="between" showDropDown="false" showErrorMessage="false" showInputMessage="false" sqref="P4:P103" type="list">
      <formula1>Catalogos!$B$2:$B$7</formula1>
      <formula2>0</formula2>
    </dataValidation>
    <dataValidation allowBlank="true" errorStyle="stop" operator="between" showDropDown="false" showErrorMessage="false" showInputMessage="false" sqref="S4:S103" type="list">
      <formula1>Catalogos!$C$2:$C$6</formula1>
      <formula2>0</formula2>
    </dataValidation>
    <dataValidation allowBlank="true" errorStyle="stop" operator="between" showDropDown="false" showErrorMessage="false" showInputMessage="false" sqref="T4:T103" type="list">
      <formula1>Catalogos!$D$2:$D$4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117</v>
      </c>
      <c r="B2" s="3"/>
      <c r="C2" s="3"/>
      <c r="D2" s="3"/>
      <c r="E2" s="3"/>
      <c r="F2" s="3"/>
      <c r="G2" s="3"/>
    </row>
    <row r="3" customFormat="false" ht="33.75" hidden="false" customHeight="true" outlineLevel="0" collapsed="false">
      <c r="A3" s="6" t="s">
        <v>20</v>
      </c>
      <c r="B3" s="6" t="s">
        <v>118</v>
      </c>
      <c r="C3" s="6" t="s">
        <v>119</v>
      </c>
      <c r="D3" s="6" t="s">
        <v>120</v>
      </c>
      <c r="E3" s="6" t="s">
        <v>121</v>
      </c>
      <c r="F3" s="6" t="s">
        <v>122</v>
      </c>
      <c r="G3" s="6" t="s">
        <v>123</v>
      </c>
    </row>
    <row r="4" customFormat="false" ht="42" hidden="false" customHeight="true" outlineLevel="0" collapsed="false">
      <c r="A4" s="7" t="n">
        <v>1</v>
      </c>
      <c r="B4" s="7" t="s">
        <v>124</v>
      </c>
      <c r="C4" s="7" t="s">
        <v>125</v>
      </c>
      <c r="D4" s="7" t="s">
        <v>126</v>
      </c>
      <c r="E4" s="7" t="s">
        <v>127</v>
      </c>
      <c r="F4" s="7" t="s">
        <v>128</v>
      </c>
      <c r="G4" s="7" t="s">
        <v>129</v>
      </c>
    </row>
    <row r="5" customFormat="false" ht="42" hidden="false" customHeight="true" outlineLevel="0" collapsed="false">
      <c r="A5" s="7" t="n">
        <v>2</v>
      </c>
      <c r="B5" s="7" t="s">
        <v>124</v>
      </c>
      <c r="C5" s="7" t="s">
        <v>130</v>
      </c>
      <c r="D5" s="7" t="s">
        <v>131</v>
      </c>
      <c r="E5" s="7" t="s">
        <v>127</v>
      </c>
      <c r="F5" s="7" t="s">
        <v>128</v>
      </c>
      <c r="G5" s="7" t="s">
        <v>129</v>
      </c>
    </row>
    <row r="6" customFormat="false" ht="42" hidden="false" customHeight="true" outlineLevel="0" collapsed="false">
      <c r="A6" s="7" t="n">
        <v>3</v>
      </c>
      <c r="B6" s="7" t="s">
        <v>124</v>
      </c>
      <c r="C6" s="7" t="s">
        <v>132</v>
      </c>
      <c r="D6" s="7" t="s">
        <v>133</v>
      </c>
      <c r="E6" s="7" t="s">
        <v>127</v>
      </c>
      <c r="F6" s="7" t="s">
        <v>134</v>
      </c>
      <c r="G6" s="7" t="s">
        <v>129</v>
      </c>
    </row>
    <row r="7" customFormat="false" ht="42" hidden="false" customHeight="true" outlineLevel="0" collapsed="false">
      <c r="A7" s="7" t="n">
        <v>4</v>
      </c>
      <c r="B7" s="7" t="s">
        <v>124</v>
      </c>
      <c r="C7" s="7" t="s">
        <v>135</v>
      </c>
      <c r="D7" s="7" t="s">
        <v>136</v>
      </c>
      <c r="E7" s="7" t="s">
        <v>127</v>
      </c>
      <c r="F7" s="7" t="s">
        <v>128</v>
      </c>
      <c r="G7" s="7" t="s">
        <v>129</v>
      </c>
    </row>
    <row r="8" customFormat="false" ht="42" hidden="false" customHeight="true" outlineLevel="0" collapsed="false">
      <c r="A8" s="7" t="n">
        <v>5</v>
      </c>
      <c r="B8" s="7" t="s">
        <v>124</v>
      </c>
      <c r="C8" s="7" t="s">
        <v>137</v>
      </c>
      <c r="D8" s="7" t="s">
        <v>138</v>
      </c>
      <c r="E8" s="7" t="s">
        <v>127</v>
      </c>
      <c r="F8" s="7" t="s">
        <v>128</v>
      </c>
      <c r="G8" s="7" t="s">
        <v>129</v>
      </c>
    </row>
    <row r="9" customFormat="false" ht="42" hidden="false" customHeight="true" outlineLevel="0" collapsed="false">
      <c r="A9" s="7" t="n">
        <v>6</v>
      </c>
      <c r="B9" s="7" t="s">
        <v>124</v>
      </c>
      <c r="C9" s="7" t="s">
        <v>139</v>
      </c>
      <c r="D9" s="7" t="s">
        <v>140</v>
      </c>
      <c r="E9" s="7" t="s">
        <v>127</v>
      </c>
      <c r="F9" s="7" t="s">
        <v>141</v>
      </c>
      <c r="G9" s="7" t="s">
        <v>129</v>
      </c>
    </row>
    <row r="10" customFormat="false" ht="42" hidden="false" customHeight="true" outlineLevel="0" collapsed="false">
      <c r="A10" s="7" t="n">
        <v>7</v>
      </c>
      <c r="B10" s="7" t="s">
        <v>142</v>
      </c>
      <c r="C10" s="7" t="s">
        <v>143</v>
      </c>
      <c r="D10" s="7" t="s">
        <v>144</v>
      </c>
      <c r="E10" s="7" t="s">
        <v>145</v>
      </c>
      <c r="F10" s="7" t="s">
        <v>146</v>
      </c>
      <c r="G10" s="7" t="s">
        <v>129</v>
      </c>
    </row>
    <row r="11" customFormat="false" ht="42" hidden="false" customHeight="true" outlineLevel="0" collapsed="false">
      <c r="A11" s="7" t="n">
        <v>8</v>
      </c>
      <c r="B11" s="7" t="s">
        <v>147</v>
      </c>
      <c r="C11" s="7" t="s">
        <v>148</v>
      </c>
      <c r="D11" s="7" t="s">
        <v>149</v>
      </c>
      <c r="E11" s="7" t="s">
        <v>150</v>
      </c>
      <c r="F11" s="7" t="s">
        <v>151</v>
      </c>
      <c r="G11" s="7" t="s">
        <v>129</v>
      </c>
    </row>
    <row r="12" customFormat="false" ht="42" hidden="false" customHeight="true" outlineLevel="0" collapsed="false">
      <c r="A12" s="7" t="n">
        <v>9</v>
      </c>
      <c r="B12" s="7" t="s">
        <v>152</v>
      </c>
      <c r="C12" s="7" t="s">
        <v>153</v>
      </c>
      <c r="D12" s="7" t="s">
        <v>154</v>
      </c>
      <c r="E12" s="7" t="s">
        <v>155</v>
      </c>
      <c r="F12" s="7" t="s">
        <v>156</v>
      </c>
      <c r="G12" s="7" t="s">
        <v>129</v>
      </c>
    </row>
    <row r="13" customFormat="false" ht="42" hidden="false" customHeight="true" outlineLevel="0" collapsed="false">
      <c r="A13" s="7" t="n">
        <v>10</v>
      </c>
      <c r="B13" s="7" t="s">
        <v>152</v>
      </c>
      <c r="C13" s="7" t="s">
        <v>157</v>
      </c>
      <c r="D13" s="7" t="s">
        <v>158</v>
      </c>
      <c r="E13" s="7" t="s">
        <v>159</v>
      </c>
      <c r="F13" s="7" t="s">
        <v>160</v>
      </c>
      <c r="G13" s="7" t="s">
        <v>129</v>
      </c>
    </row>
    <row r="14" customFormat="false" ht="42" hidden="false" customHeight="true" outlineLevel="0" collapsed="false">
      <c r="A14" s="7" t="n">
        <v>11</v>
      </c>
      <c r="B14" s="7" t="s">
        <v>152</v>
      </c>
      <c r="C14" s="7" t="s">
        <v>161</v>
      </c>
      <c r="D14" s="7" t="s">
        <v>162</v>
      </c>
      <c r="E14" s="7" t="s">
        <v>163</v>
      </c>
      <c r="F14" s="7" t="s">
        <v>164</v>
      </c>
      <c r="G14" s="7" t="s">
        <v>129</v>
      </c>
    </row>
    <row r="15" customFormat="false" ht="42" hidden="false" customHeight="true" outlineLevel="0" collapsed="false">
      <c r="A15" s="7" t="n">
        <v>12</v>
      </c>
      <c r="B15" s="7" t="s">
        <v>152</v>
      </c>
      <c r="C15" s="7" t="s">
        <v>105</v>
      </c>
      <c r="D15" s="7" t="s">
        <v>165</v>
      </c>
      <c r="E15" s="7" t="s">
        <v>166</v>
      </c>
      <c r="F15" s="7" t="s">
        <v>167</v>
      </c>
      <c r="G15" s="7" t="s">
        <v>129</v>
      </c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B4:B33" type="list">
      <formula1>"Requisito huérfano,Historia sin origen,Diagrama sin historia,Historia sin prueba,Prueba sin evidencia,Otro"</formula1>
      <formula2>0</formula2>
    </dataValidation>
    <dataValidation allowBlank="true" errorStyle="stop" operator="between" showDropDown="false" showErrorMessage="false" showInputMessage="false" sqref="G4:G33" type="list">
      <formula1>"Abierto,En corrección,Cerrado"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30" hidden="false" customHeight="true" outlineLevel="0" collapsed="false">
      <c r="A1" s="2" t="s">
        <v>168</v>
      </c>
      <c r="B1" s="2"/>
      <c r="C1" s="2"/>
    </row>
    <row r="2" customFormat="false" ht="19.5" hidden="false" customHeight="true" outlineLevel="0" collapsed="false">
      <c r="A2" s="3" t="s">
        <v>169</v>
      </c>
      <c r="B2" s="3"/>
      <c r="C2" s="3"/>
    </row>
    <row r="4" customFormat="false" ht="15" hidden="false" customHeight="true" outlineLevel="0" collapsed="false">
      <c r="A4" s="9" t="s">
        <v>170</v>
      </c>
      <c r="B4" s="10" t="n">
        <f aca="false">COUNTA(Matriz!E4:E103)</f>
        <v>12</v>
      </c>
    </row>
    <row r="5" customFormat="false" ht="15" hidden="false" customHeight="true" outlineLevel="0" collapsed="false">
      <c r="A5" s="11" t="s">
        <v>171</v>
      </c>
      <c r="B5" s="10" t="n">
        <f aca="false">COUNTIFS(Matriz!E4:E103,"&lt;&gt;",Matriz!I4:I103,"&lt;&gt;")</f>
        <v>12</v>
      </c>
    </row>
    <row r="6" customFormat="false" ht="15" hidden="false" customHeight="true" outlineLevel="0" collapsed="false">
      <c r="A6" s="9" t="s">
        <v>172</v>
      </c>
      <c r="B6" s="10" t="n">
        <f aca="false">SUMPRODUCT((Matriz!E4:E103&lt;&gt;"")*((Matriz!J4:J103&lt;&gt;"")+(Matriz!K4:K103&lt;&gt;"")+(Matriz!L4:L103&lt;&gt;"")&gt;0))</f>
        <v>12</v>
      </c>
    </row>
    <row r="7" customFormat="false" ht="15" hidden="false" customHeight="true" outlineLevel="0" collapsed="false">
      <c r="A7" s="11" t="s">
        <v>173</v>
      </c>
      <c r="B7" s="10" t="n">
        <f aca="false">COUNTIFS(Matriz!E4:E103,"&lt;&gt;",Matriz!O4:O103,"&lt;&gt;")</f>
        <v>0</v>
      </c>
    </row>
    <row r="8" customFormat="false" ht="15" hidden="false" customHeight="true" outlineLevel="0" collapsed="false">
      <c r="A8" s="9" t="s">
        <v>174</v>
      </c>
      <c r="B8" s="10" t="n">
        <f aca="false">COUNTIFS(Matriz!E4:E103,"&lt;&gt;",Matriz!Q4:Q103,"&lt;&gt;")</f>
        <v>0</v>
      </c>
    </row>
    <row r="9" customFormat="false" ht="15" hidden="false" customHeight="true" outlineLevel="0" collapsed="false">
      <c r="A9" s="11" t="s">
        <v>175</v>
      </c>
      <c r="B9" s="10" t="n">
        <f aca="false">COUNTIF(Matriz!T4:T103,"Completa")</f>
        <v>0</v>
      </c>
    </row>
    <row r="10" customFormat="false" ht="15" hidden="false" customHeight="true" outlineLevel="0" collapsed="false">
      <c r="A10" s="9" t="s">
        <v>176</v>
      </c>
      <c r="B10" s="10" t="n">
        <f aca="false">COUNTIF(Matriz!T4:T103,"Parcial")</f>
        <v>12</v>
      </c>
    </row>
    <row r="11" customFormat="false" ht="15" hidden="false" customHeight="true" outlineLevel="0" collapsed="false">
      <c r="A11" s="11" t="s">
        <v>52</v>
      </c>
      <c r="B11" s="10" t="n">
        <f aca="false">COUNTIF(Matriz!T4:T103,"Sin iniciar")</f>
        <v>0</v>
      </c>
    </row>
    <row r="12" customFormat="false" ht="15" hidden="false" customHeight="true" outlineLevel="0" collapsed="false">
      <c r="A12" s="9" t="s">
        <v>177</v>
      </c>
      <c r="B12" s="12" t="n">
        <f aca="false">IF(COUNTA(Matriz!E4:E103)=0,"",COUNTIFS(Matriz!E4:E103,"&lt;&gt;",Matriz!I4:I103,"&lt;&gt;")/COUNTA(Matriz!E4:E103))</f>
        <v>1</v>
      </c>
    </row>
    <row r="13" customFormat="false" ht="15" hidden="false" customHeight="true" outlineLevel="0" collapsed="false">
      <c r="A13" s="11" t="s">
        <v>178</v>
      </c>
      <c r="B13" s="12" t="n">
        <f aca="false">IF(COUNTA(Matriz!E4:E103)=0,"",COUNTIFS(Matriz!E4:E103,"&lt;&gt;",Matriz!O4:O103,"&lt;&gt;")/COUNTA(Matriz!E4:E103))</f>
        <v>0</v>
      </c>
    </row>
    <row r="14" customFormat="false" ht="15" hidden="false" customHeight="true" outlineLevel="0" collapsed="false">
      <c r="A14" s="9" t="s">
        <v>179</v>
      </c>
      <c r="B14" s="10" t="n">
        <f aca="false">COUNTIF(Huecos!G4:G33,"Abierto")</f>
        <v>12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6"/>
  </cols>
  <sheetData>
    <row r="1" customFormat="false" ht="15" hidden="false" customHeight="true" outlineLevel="0" collapsed="false">
      <c r="A1" s="13" t="s">
        <v>180</v>
      </c>
      <c r="B1" s="13" t="s">
        <v>181</v>
      </c>
      <c r="C1" s="13" t="s">
        <v>38</v>
      </c>
      <c r="D1" s="13" t="s">
        <v>39</v>
      </c>
    </row>
    <row r="2" customFormat="false" ht="15" hidden="false" customHeight="true" outlineLevel="0" collapsed="false">
      <c r="A2" s="14" t="s">
        <v>45</v>
      </c>
      <c r="B2" s="14" t="s">
        <v>51</v>
      </c>
      <c r="C2" s="14" t="s">
        <v>52</v>
      </c>
      <c r="D2" s="14" t="s">
        <v>182</v>
      </c>
    </row>
    <row r="3" customFormat="false" ht="15" hidden="false" customHeight="true" outlineLevel="0" collapsed="false">
      <c r="A3" s="14" t="s">
        <v>183</v>
      </c>
      <c r="B3" s="14" t="s">
        <v>184</v>
      </c>
      <c r="C3" s="14" t="s">
        <v>185</v>
      </c>
      <c r="D3" s="14" t="s">
        <v>53</v>
      </c>
    </row>
    <row r="4" customFormat="false" ht="15" hidden="false" customHeight="true" outlineLevel="0" collapsed="false">
      <c r="A4" s="14" t="s">
        <v>186</v>
      </c>
      <c r="B4" s="14" t="s">
        <v>187</v>
      </c>
      <c r="C4" s="14" t="s">
        <v>188</v>
      </c>
      <c r="D4" s="14" t="s">
        <v>52</v>
      </c>
    </row>
    <row r="5" customFormat="false" ht="15" hidden="false" customHeight="true" outlineLevel="0" collapsed="false">
      <c r="A5" s="14" t="s">
        <v>189</v>
      </c>
      <c r="B5" s="14" t="s">
        <v>190</v>
      </c>
      <c r="C5" s="14" t="s">
        <v>191</v>
      </c>
    </row>
    <row r="6" customFormat="false" ht="15" hidden="false" customHeight="true" outlineLevel="0" collapsed="false">
      <c r="A6" s="14" t="s">
        <v>192</v>
      </c>
      <c r="B6" s="14" t="s">
        <v>191</v>
      </c>
    </row>
    <row r="7" customFormat="false" ht="15" hidden="false" customHeight="true" outlineLevel="0" collapsed="false">
      <c r="A7" s="14" t="s">
        <v>193</v>
      </c>
    </row>
    <row r="8" customFormat="false" ht="15" hidden="false" customHeight="true" outlineLevel="0" collapsed="false">
      <c r="A8" s="14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2026-08-14T05:49:25Z</dcterms:created>
  <dc:creator>openpyxl</dc:creator>
  <dc:description/>
  <dc:language>en-US</dc:language>
  <cp:lastModifiedBy/>
  <dcterms:modified xsi:type="dcterms:W3CDTF">2026-09-04T19:13:44Z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